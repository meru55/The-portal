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1 業務機能別\06 購買\納品書\"/>
    </mc:Choice>
  </mc:AlternateContent>
  <xr:revisionPtr revIDLastSave="0" documentId="13_ncr:1_{9A79F10D-E105-4F48-A02D-25EA96375A20}" xr6:coauthVersionLast="47" xr6:coauthVersionMax="47" xr10:uidLastSave="{00000000-0000-0000-0000-000000000000}"/>
  <bookViews>
    <workbookView xWindow="7005" yWindow="60" windowWidth="22500" windowHeight="14670" xr2:uid="{00000000-000D-0000-FFFF-FFFF00000000}"/>
  </bookViews>
  <sheets>
    <sheet name="納品書" sheetId="2" r:id="rId1"/>
    <sheet name="簡易納品書" sheetId="3" r:id="rId2"/>
    <sheet name="データ" sheetId="4" r:id="rId3"/>
  </sheets>
  <definedNames>
    <definedName name="_xlnm._FilterDatabase" localSheetId="0" hidden="1">納品書!$B$14:$G$15</definedName>
    <definedName name="_xlnm.Print_Area" localSheetId="0">納品書!$A$1:$H$37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2" l="1"/>
  <c r="G15" i="2" s="1"/>
  <c r="D16" i="2" l="1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15" i="2"/>
  <c r="F16" i="2" l="1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" i="3"/>
  <c r="C3" i="3"/>
  <c r="B3" i="3" s="1"/>
  <c r="C4" i="3"/>
  <c r="B4" i="3" s="1"/>
  <c r="C5" i="3"/>
  <c r="B5" i="3" s="1"/>
  <c r="C6" i="3"/>
  <c r="B6" i="3" s="1"/>
  <c r="C7" i="3"/>
  <c r="A7" i="3" s="1"/>
  <c r="C8" i="3"/>
  <c r="A8" i="3" s="1"/>
  <c r="C9" i="3"/>
  <c r="B9" i="3" s="1"/>
  <c r="C10" i="3"/>
  <c r="B10" i="3" s="1"/>
  <c r="C11" i="3"/>
  <c r="A11" i="3" s="1"/>
  <c r="C12" i="3"/>
  <c r="A12" i="3" s="1"/>
  <c r="C13" i="3"/>
  <c r="A13" i="3" s="1"/>
  <c r="C14" i="3"/>
  <c r="B14" i="3" s="1"/>
  <c r="C15" i="3"/>
  <c r="B15" i="3" s="1"/>
  <c r="C16" i="3"/>
  <c r="B16" i="3" s="1"/>
  <c r="C17" i="3"/>
  <c r="B17" i="3" s="1"/>
  <c r="C18" i="3"/>
  <c r="B18" i="3" s="1"/>
  <c r="C19" i="3"/>
  <c r="A19" i="3" s="1"/>
  <c r="C20" i="3"/>
  <c r="B20" i="3" s="1"/>
  <c r="C21" i="3"/>
  <c r="B21" i="3" s="1"/>
  <c r="C2" i="3"/>
  <c r="B2" i="3" s="1"/>
  <c r="G24" i="2"/>
  <c r="G11" i="3" s="1"/>
  <c r="G23" i="2"/>
  <c r="G10" i="3" s="1"/>
  <c r="G22" i="2"/>
  <c r="G9" i="3" s="1"/>
  <c r="G21" i="2"/>
  <c r="G8" i="3" s="1"/>
  <c r="G20" i="2"/>
  <c r="G7" i="3" s="1"/>
  <c r="G19" i="2"/>
  <c r="G6" i="3" s="1"/>
  <c r="G18" i="2"/>
  <c r="G5" i="3" s="1"/>
  <c r="G17" i="2"/>
  <c r="G4" i="3" s="1"/>
  <c r="G16" i="2"/>
  <c r="G2" i="3"/>
  <c r="D4" i="3"/>
  <c r="D3" i="3"/>
  <c r="G25" i="2"/>
  <c r="G12" i="3" s="1"/>
  <c r="G26" i="2"/>
  <c r="G13" i="3" s="1"/>
  <c r="G27" i="2"/>
  <c r="G14" i="3" s="1"/>
  <c r="G28" i="2"/>
  <c r="G15" i="3" s="1"/>
  <c r="G29" i="2"/>
  <c r="G16" i="3" s="1"/>
  <c r="G30" i="2"/>
  <c r="G17" i="3" s="1"/>
  <c r="G31" i="2"/>
  <c r="G18" i="3" s="1"/>
  <c r="G32" i="2"/>
  <c r="G19" i="3" s="1"/>
  <c r="G33" i="2"/>
  <c r="G20" i="3" s="1"/>
  <c r="G34" i="2"/>
  <c r="G21" i="3" s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15" i="2"/>
  <c r="B8" i="3" l="1"/>
  <c r="B13" i="3"/>
  <c r="G3" i="3"/>
  <c r="G35" i="2"/>
  <c r="G22" i="3" s="1"/>
  <c r="B12" i="3"/>
  <c r="A10" i="3"/>
  <c r="A14" i="3"/>
  <c r="B19" i="3"/>
  <c r="A18" i="3"/>
  <c r="B11" i="3"/>
  <c r="B7" i="3"/>
  <c r="A6" i="3"/>
  <c r="A3" i="3"/>
  <c r="A17" i="3"/>
  <c r="A9" i="3"/>
  <c r="A5" i="3"/>
  <c r="A20" i="3"/>
  <c r="A16" i="3"/>
  <c r="A4" i="3"/>
  <c r="A15" i="3"/>
  <c r="A21" i="3"/>
  <c r="A2" i="3"/>
</calcChain>
</file>

<file path=xl/sharedStrings.xml><?xml version="1.0" encoding="utf-8"?>
<sst xmlns="http://schemas.openxmlformats.org/spreadsheetml/2006/main" count="1700" uniqueCount="1305">
  <si>
    <t>納　　品　　書</t>
    <rPh sb="0" eb="1">
      <t>オサメ</t>
    </rPh>
    <rPh sb="3" eb="4">
      <t>ヒン</t>
    </rPh>
    <rPh sb="6" eb="7">
      <t>ショ</t>
    </rPh>
    <phoneticPr fontId="2"/>
  </si>
  <si>
    <t>旭化成住工株式会社　殿</t>
    <rPh sb="0" eb="3">
      <t>アサヒカセイ</t>
    </rPh>
    <rPh sb="3" eb="5">
      <t>ジュウコウ</t>
    </rPh>
    <rPh sb="5" eb="9">
      <t>カブシキガイシャ</t>
    </rPh>
    <rPh sb="10" eb="11">
      <t>ドノ</t>
    </rPh>
    <phoneticPr fontId="2"/>
  </si>
  <si>
    <t>納 品 日 ：</t>
    <rPh sb="0" eb="1">
      <t>オサメ</t>
    </rPh>
    <rPh sb="2" eb="3">
      <t>ヒン</t>
    </rPh>
    <rPh sb="4" eb="5">
      <t>ヒ</t>
    </rPh>
    <phoneticPr fontId="2"/>
  </si>
  <si>
    <t>材　種  ：</t>
    <rPh sb="0" eb="1">
      <t>ザイ</t>
    </rPh>
    <rPh sb="2" eb="3">
      <t>シュ</t>
    </rPh>
    <phoneticPr fontId="2"/>
  </si>
  <si>
    <t>下記の通り納品いたしました。</t>
    <rPh sb="0" eb="2">
      <t>カキ</t>
    </rPh>
    <rPh sb="3" eb="4">
      <t>トオ</t>
    </rPh>
    <rPh sb="5" eb="7">
      <t>ノウヒン</t>
    </rPh>
    <phoneticPr fontId="2"/>
  </si>
  <si>
    <t>コード№</t>
    <phoneticPr fontId="2"/>
  </si>
  <si>
    <t>部材名</t>
    <rPh sb="0" eb="2">
      <t>ブザイ</t>
    </rPh>
    <rPh sb="2" eb="3">
      <t>メイ</t>
    </rPh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</si>
  <si>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</si>
  <si>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</si>
  <si>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</si>
  <si>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＜合計＞</t>
    <rPh sb="1" eb="3">
      <t>ゴウケイ</t>
    </rPh>
    <phoneticPr fontId="2"/>
  </si>
  <si>
    <t>＜摘要＞</t>
    <rPh sb="1" eb="3">
      <t>テキヨウ</t>
    </rPh>
    <phoneticPr fontId="2"/>
  </si>
  <si>
    <t>№</t>
    <phoneticPr fontId="2"/>
  </si>
  <si>
    <t>KEY</t>
  </si>
  <si>
    <t>コード№</t>
  </si>
  <si>
    <t>部材名</t>
  </si>
  <si>
    <t>購入単価</t>
  </si>
  <si>
    <t>単価適用開始日</t>
    <rPh sb="0" eb="2">
      <t>タンカ</t>
    </rPh>
    <rPh sb="2" eb="4">
      <t>テキヨウ</t>
    </rPh>
    <rPh sb="4" eb="6">
      <t>カイシ</t>
    </rPh>
    <rPh sb="6" eb="7">
      <t>ビ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</si>
  <si>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</si>
  <si>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</si>
  <si>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合計</t>
    <rPh sb="0" eb="2">
      <t>ゴウケイ</t>
    </rPh>
    <phoneticPr fontId="2"/>
  </si>
  <si>
    <t>11：鉄骨</t>
  </si>
  <si>
    <t>201604</t>
  </si>
  <si>
    <t>201404</t>
  </si>
  <si>
    <t>190101</t>
  </si>
  <si>
    <t>200810</t>
  </si>
  <si>
    <t>株式会社 北浦工業</t>
    <rPh sb="0" eb="4">
      <t>カブシキ</t>
    </rPh>
    <rPh sb="5" eb="9">
      <t>キタウラ</t>
    </rPh>
    <phoneticPr fontId="2"/>
  </si>
  <si>
    <t>1129961-200810</t>
  </si>
  <si>
    <t>29961</t>
  </si>
  <si>
    <t>D-CKK-SUA</t>
  </si>
  <si>
    <t>83073</t>
  </si>
  <si>
    <t>WWF</t>
  </si>
  <si>
    <t>201706</t>
  </si>
  <si>
    <t>1184023-200909</t>
  </si>
  <si>
    <t>84023</t>
  </si>
  <si>
    <t>D-CKK-SS</t>
  </si>
  <si>
    <t>200909</t>
  </si>
  <si>
    <t>1184024-200904</t>
  </si>
  <si>
    <t>84024</t>
  </si>
  <si>
    <t>D-CKK-KU</t>
  </si>
  <si>
    <t>200904</t>
  </si>
  <si>
    <t>1184072-200909</t>
  </si>
  <si>
    <t>84072</t>
  </si>
  <si>
    <t>D-CKK-1NN</t>
  </si>
  <si>
    <t>1184073-200910</t>
  </si>
  <si>
    <t>84073</t>
  </si>
  <si>
    <t>D-CKK-1TN</t>
  </si>
  <si>
    <t>200910</t>
  </si>
  <si>
    <t>1184074-200910</t>
  </si>
  <si>
    <t>84074</t>
  </si>
  <si>
    <t>D-CKK-1PN</t>
  </si>
  <si>
    <t>1184075-200909</t>
  </si>
  <si>
    <t>84075</t>
  </si>
  <si>
    <t>D-CKK-1HT</t>
  </si>
  <si>
    <t>1184076-200910</t>
  </si>
  <si>
    <t>84076</t>
  </si>
  <si>
    <t>D-CKK-1TT</t>
  </si>
  <si>
    <t>1184077-200910</t>
  </si>
  <si>
    <t>84077</t>
  </si>
  <si>
    <t>D-CKK-1PT</t>
  </si>
  <si>
    <t>1184078-200910</t>
  </si>
  <si>
    <t>84078</t>
  </si>
  <si>
    <t>D-CKK-2N</t>
  </si>
  <si>
    <t>1184079-200909</t>
  </si>
  <si>
    <t>84079</t>
  </si>
  <si>
    <t>D-CKK-2T</t>
  </si>
  <si>
    <t>1184080-200904</t>
  </si>
  <si>
    <t>84080</t>
  </si>
  <si>
    <t>D-CKK-2P</t>
  </si>
  <si>
    <t>1184081-200904</t>
  </si>
  <si>
    <t>84081</t>
  </si>
  <si>
    <t>D-CKK-3N</t>
  </si>
  <si>
    <t>1184082-200910</t>
  </si>
  <si>
    <t>84082</t>
  </si>
  <si>
    <t>D-CKK-4N</t>
  </si>
  <si>
    <t>1184083-200909</t>
  </si>
  <si>
    <t>84083</t>
  </si>
  <si>
    <t>D-CKK-KY</t>
  </si>
  <si>
    <t>1184084-200904</t>
  </si>
  <si>
    <t>84084</t>
  </si>
  <si>
    <t>D-CKK-KD</t>
  </si>
  <si>
    <t>1184085-200909</t>
  </si>
  <si>
    <t>84085</t>
  </si>
  <si>
    <t>D-CKK-KW</t>
  </si>
  <si>
    <t>1184086-200909</t>
  </si>
  <si>
    <t>84086</t>
  </si>
  <si>
    <t>D-CKK-GY</t>
  </si>
  <si>
    <t>1184087-200909</t>
  </si>
  <si>
    <t>84087</t>
  </si>
  <si>
    <t>D-CKK-SU</t>
  </si>
  <si>
    <t>1184088-200504</t>
  </si>
  <si>
    <t>84088</t>
  </si>
  <si>
    <t>D-CKK-BC</t>
  </si>
  <si>
    <t>200504</t>
  </si>
  <si>
    <t>1184089-200904</t>
  </si>
  <si>
    <t>84089</t>
  </si>
  <si>
    <t>D-CKK-SE</t>
  </si>
  <si>
    <t>1184090-200909</t>
  </si>
  <si>
    <t>84090</t>
  </si>
  <si>
    <t>ｱD-CKK-BC</t>
  </si>
  <si>
    <t>1184091-200904</t>
  </si>
  <si>
    <t>84091</t>
  </si>
  <si>
    <t>D-CKK-1NNH</t>
  </si>
  <si>
    <t>1184092-200904</t>
  </si>
  <si>
    <t>84092</t>
  </si>
  <si>
    <t>D-CKK-3NH</t>
  </si>
  <si>
    <t>1184093-200910</t>
  </si>
  <si>
    <t>84093</t>
  </si>
  <si>
    <t>D-CKK-2NH</t>
  </si>
  <si>
    <t>1184094-200909</t>
  </si>
  <si>
    <t>84094</t>
  </si>
  <si>
    <t>D-CKK-GY2</t>
  </si>
  <si>
    <t>1187505-200905</t>
  </si>
  <si>
    <t>87505</t>
  </si>
  <si>
    <t>DX-ﾌﾟﾚｻﾞｶﾞﾈ</t>
  </si>
  <si>
    <t>200905</t>
  </si>
  <si>
    <t>EL571</t>
  </si>
  <si>
    <t>H-CKK-BC1</t>
  </si>
  <si>
    <t>EL601</t>
  </si>
  <si>
    <t>G-CKU-SUBL</t>
  </si>
  <si>
    <t>EL602</t>
  </si>
  <si>
    <t>G-CKU-SUBR</t>
  </si>
  <si>
    <t>EL603</t>
  </si>
  <si>
    <t>G-CKU-SUKL</t>
  </si>
  <si>
    <t>EL604</t>
  </si>
  <si>
    <t>G-CKU-SUKR</t>
  </si>
  <si>
    <t>EL605</t>
  </si>
  <si>
    <t>G-CKU-SUSL</t>
  </si>
  <si>
    <t>EL606</t>
  </si>
  <si>
    <t>G-CKU-SUSR</t>
  </si>
  <si>
    <t>11FE151-200911</t>
  </si>
  <si>
    <t>FE151</t>
  </si>
  <si>
    <t>F-KNK</t>
  </si>
  <si>
    <t>200911</t>
  </si>
  <si>
    <t>FL800</t>
  </si>
  <si>
    <t>F-LFZ</t>
  </si>
  <si>
    <t>FL806</t>
  </si>
  <si>
    <t>F-CKK-SE</t>
  </si>
  <si>
    <t>FL807</t>
  </si>
  <si>
    <t>F-CKK-SS</t>
  </si>
  <si>
    <t>11FL808-200811</t>
  </si>
  <si>
    <t>FL808</t>
  </si>
  <si>
    <t>F-CKK-KU</t>
  </si>
  <si>
    <t>200811</t>
  </si>
  <si>
    <t>FL809</t>
  </si>
  <si>
    <t>F-CKK-BC</t>
  </si>
  <si>
    <t>FL810</t>
  </si>
  <si>
    <t>F-CKK-SU</t>
  </si>
  <si>
    <t>FL811</t>
  </si>
  <si>
    <t>F-CKK-GY</t>
  </si>
  <si>
    <t>FL812</t>
  </si>
  <si>
    <t>F-CKK-KY</t>
  </si>
  <si>
    <t>FL813</t>
  </si>
  <si>
    <t>F-CKK-KW</t>
  </si>
  <si>
    <t>FL814</t>
  </si>
  <si>
    <t>F-CKK-4N</t>
  </si>
  <si>
    <t>FL815</t>
  </si>
  <si>
    <t>F-CKK-3N</t>
  </si>
  <si>
    <t>FL816</t>
  </si>
  <si>
    <t>F-CKK-2N</t>
  </si>
  <si>
    <t>FL817</t>
  </si>
  <si>
    <t>F-CKK-2T</t>
  </si>
  <si>
    <t>FL818</t>
  </si>
  <si>
    <t>F-CKK-2P</t>
  </si>
  <si>
    <t>FL819</t>
  </si>
  <si>
    <t>F-CKK-1NN</t>
  </si>
  <si>
    <t>FL820</t>
  </si>
  <si>
    <t>F-CKK-1TN</t>
  </si>
  <si>
    <t>FL821</t>
  </si>
  <si>
    <t>F-CKK-1TT</t>
  </si>
  <si>
    <t>FL822</t>
  </si>
  <si>
    <t>F-CKK-1HT</t>
  </si>
  <si>
    <t>FL823</t>
  </si>
  <si>
    <t>F-CKK-1PN</t>
  </si>
  <si>
    <t>FL824</t>
  </si>
  <si>
    <t>F-CKK-1PT</t>
  </si>
  <si>
    <t>11FL825-201104</t>
  </si>
  <si>
    <t>FL825</t>
  </si>
  <si>
    <t>F-CKK-1NNH</t>
  </si>
  <si>
    <t>201104</t>
  </si>
  <si>
    <t>11FL826-201402</t>
  </si>
  <si>
    <t>FL826</t>
  </si>
  <si>
    <t>F-CKK-2NH</t>
  </si>
  <si>
    <t>201402</t>
  </si>
  <si>
    <t>11FL827-201402</t>
  </si>
  <si>
    <t>FL827</t>
  </si>
  <si>
    <t>F-CKK-3NH</t>
  </si>
  <si>
    <t>FL829</t>
  </si>
  <si>
    <t>F-CKU-2N</t>
  </si>
  <si>
    <t>FL830</t>
  </si>
  <si>
    <t>F-CKU-2T</t>
  </si>
  <si>
    <t>FL851</t>
  </si>
  <si>
    <t>F-CKK-KD</t>
  </si>
  <si>
    <t>FL852</t>
  </si>
  <si>
    <t>F-CKK-KUR</t>
  </si>
  <si>
    <t>FL853</t>
  </si>
  <si>
    <t>F-CKK-KUL</t>
  </si>
  <si>
    <t>11FL854-201404</t>
  </si>
  <si>
    <t>FL854</t>
  </si>
  <si>
    <t>F-CKU-1TTR</t>
  </si>
  <si>
    <t>11FL855-201404</t>
  </si>
  <si>
    <t>FL855</t>
  </si>
  <si>
    <t>F-CKU-1TTL</t>
  </si>
  <si>
    <t>11FL856-201604</t>
  </si>
  <si>
    <t>FL856</t>
  </si>
  <si>
    <t>F-CKU-1TNR</t>
  </si>
  <si>
    <t>11FL857-201604</t>
  </si>
  <si>
    <t>FL857</t>
  </si>
  <si>
    <t>F-CKU-1TNL</t>
  </si>
  <si>
    <t>FL858</t>
  </si>
  <si>
    <t>F-CKU-1NNR</t>
  </si>
  <si>
    <t>FL859</t>
  </si>
  <si>
    <t>F-CKU-1NNL</t>
  </si>
  <si>
    <t>FL860</t>
  </si>
  <si>
    <t>F-CKU-1HKR</t>
  </si>
  <si>
    <t>FL861</t>
  </si>
  <si>
    <t>F-CKU-1HKL</t>
  </si>
  <si>
    <t>11FL862-201404</t>
  </si>
  <si>
    <t>FL862</t>
  </si>
  <si>
    <t>F-CKU-1NNHR</t>
  </si>
  <si>
    <t>11FL863-201404</t>
  </si>
  <si>
    <t>FL863</t>
  </si>
  <si>
    <t>F-CKU-1NNHL</t>
  </si>
  <si>
    <t>11FL864-201404</t>
  </si>
  <si>
    <t>FL864</t>
  </si>
  <si>
    <t>F-CKU-2NH</t>
  </si>
  <si>
    <t>FL865</t>
  </si>
  <si>
    <t>F-CKU-2HK</t>
  </si>
  <si>
    <t>FL866</t>
  </si>
  <si>
    <t>F-CKU-2NM</t>
  </si>
  <si>
    <t>FL867</t>
  </si>
  <si>
    <t>F-CKU-SUR</t>
  </si>
  <si>
    <t>FL868</t>
  </si>
  <si>
    <t>F-CKU-SUL</t>
  </si>
  <si>
    <t>FL869</t>
  </si>
  <si>
    <t>F-CKK-2NM</t>
  </si>
  <si>
    <t>11FL870-201104</t>
  </si>
  <si>
    <t>FL870</t>
  </si>
  <si>
    <t>F-CKK-2NMH</t>
  </si>
  <si>
    <t>FL871</t>
  </si>
  <si>
    <t>F-CKK-KYT</t>
  </si>
  <si>
    <t>FL872</t>
  </si>
  <si>
    <t>F-CKK-SUU1</t>
  </si>
  <si>
    <t>11FL873-200909</t>
  </si>
  <si>
    <t>FL873</t>
  </si>
  <si>
    <t>F-CKK-SUU2</t>
  </si>
  <si>
    <t>FL874</t>
  </si>
  <si>
    <t>F-KKU-R</t>
  </si>
  <si>
    <t>FL875</t>
  </si>
  <si>
    <t>F-KKU-L</t>
  </si>
  <si>
    <t>11FL876-200909</t>
  </si>
  <si>
    <t>FL876</t>
  </si>
  <si>
    <t>F-CKU-1HK2R</t>
  </si>
  <si>
    <t>11FL877-200909</t>
  </si>
  <si>
    <t>FL877</t>
  </si>
  <si>
    <t>F-CKU-1HK2L</t>
  </si>
  <si>
    <t>FL878</t>
  </si>
  <si>
    <t>F-CKK-SUN</t>
  </si>
  <si>
    <t>FL879</t>
  </si>
  <si>
    <t>F-CKK-CY</t>
  </si>
  <si>
    <t>FL880</t>
  </si>
  <si>
    <t>F-CKK-VY</t>
  </si>
  <si>
    <t>FL883</t>
  </si>
  <si>
    <t>F-KKU-VR</t>
  </si>
  <si>
    <t>FL884</t>
  </si>
  <si>
    <t>F-KKU-VL</t>
  </si>
  <si>
    <t>FL941</t>
  </si>
  <si>
    <t>F-CKS-1NN</t>
  </si>
  <si>
    <t>11FL942-201404</t>
  </si>
  <si>
    <t>FL942</t>
  </si>
  <si>
    <t>F-CKS-1NNH</t>
  </si>
  <si>
    <t>FL943</t>
  </si>
  <si>
    <t>F-CKS-1TN</t>
  </si>
  <si>
    <t>FL944</t>
  </si>
  <si>
    <t>F-CKS-1TT</t>
  </si>
  <si>
    <t>FL945</t>
  </si>
  <si>
    <t>F-CKS-2N</t>
  </si>
  <si>
    <t>11FL946-201404</t>
  </si>
  <si>
    <t>FL946</t>
  </si>
  <si>
    <t>F-CKS-2NH</t>
  </si>
  <si>
    <t>FL947</t>
  </si>
  <si>
    <t>F-CKS-2T</t>
  </si>
  <si>
    <t>FL948</t>
  </si>
  <si>
    <t>F-CKS-2NM</t>
  </si>
  <si>
    <t>FL949</t>
  </si>
  <si>
    <t>F-CKS-1N1</t>
  </si>
  <si>
    <t>11FL950-201404</t>
  </si>
  <si>
    <t>FL950</t>
  </si>
  <si>
    <t>F-CKS-1N1H</t>
  </si>
  <si>
    <t>FL951</t>
  </si>
  <si>
    <t>F-CKS-1T1</t>
  </si>
  <si>
    <t>FL952</t>
  </si>
  <si>
    <t>F-CKS-1N2</t>
  </si>
  <si>
    <t>FL953</t>
  </si>
  <si>
    <t>F-CKS-1N3</t>
  </si>
  <si>
    <t>FL954</t>
  </si>
  <si>
    <t>F-CKS-2N2</t>
  </si>
  <si>
    <t>FP451</t>
  </si>
  <si>
    <t>F-ﾊﾟﾗﾍﾟｯﾄｼﾞｮｲﾝﾄ</t>
  </si>
  <si>
    <t>G8330</t>
  </si>
  <si>
    <t>HWWF</t>
  </si>
  <si>
    <t>G8390</t>
  </si>
  <si>
    <t>F-LFZP</t>
  </si>
  <si>
    <t>G8461</t>
  </si>
  <si>
    <t>K-CKU-1AL</t>
  </si>
  <si>
    <t>G8462</t>
  </si>
  <si>
    <t>K-CKU-1AR</t>
  </si>
  <si>
    <t>G8463</t>
  </si>
  <si>
    <t>K-CKU-1BL</t>
  </si>
  <si>
    <t>G8464</t>
  </si>
  <si>
    <t>K-CKU-1BR</t>
  </si>
  <si>
    <t>G8465</t>
  </si>
  <si>
    <t>K-CKU-1ML</t>
  </si>
  <si>
    <t>G8466</t>
  </si>
  <si>
    <t>K-CKU-1MR</t>
  </si>
  <si>
    <t>G8467</t>
  </si>
  <si>
    <t>K-CKU-2A</t>
  </si>
  <si>
    <t>G8468</t>
  </si>
  <si>
    <t>K-CKU-2C</t>
  </si>
  <si>
    <t>G8469</t>
  </si>
  <si>
    <t>K-CKU-3A</t>
  </si>
  <si>
    <t>G8470</t>
  </si>
  <si>
    <t>K-CKU-1CL</t>
  </si>
  <si>
    <t>G8471</t>
  </si>
  <si>
    <t>K-CKU-1CR</t>
  </si>
  <si>
    <t>G8481</t>
  </si>
  <si>
    <t>K-CKK-1A</t>
  </si>
  <si>
    <t>G8482</t>
  </si>
  <si>
    <t>K-CKK-1B</t>
  </si>
  <si>
    <t>G8483</t>
  </si>
  <si>
    <t>K-CKK-1C</t>
  </si>
  <si>
    <t>G8484</t>
  </si>
  <si>
    <t>K-CKK-1M</t>
  </si>
  <si>
    <t>G8485</t>
  </si>
  <si>
    <t>K-CKK-1P</t>
  </si>
  <si>
    <t>G8486</t>
  </si>
  <si>
    <t>K-CKK-2A1</t>
  </si>
  <si>
    <t>G8487</t>
  </si>
  <si>
    <t>K-CKK-2A2</t>
  </si>
  <si>
    <t>G8488</t>
  </si>
  <si>
    <t>K-CKK-2C</t>
  </si>
  <si>
    <t>G8489</t>
  </si>
  <si>
    <t>K-CKK-3A</t>
  </si>
  <si>
    <t>G8490</t>
  </si>
  <si>
    <t>K-CKK-4A</t>
  </si>
  <si>
    <t>G8491</t>
  </si>
  <si>
    <t>K-CKK-SU</t>
  </si>
  <si>
    <t>G8492</t>
  </si>
  <si>
    <t>K-CKK-BC</t>
  </si>
  <si>
    <t>G8493</t>
  </si>
  <si>
    <t>K-CKK-GY</t>
  </si>
  <si>
    <t>G8494</t>
  </si>
  <si>
    <t>K-CKK-KY</t>
  </si>
  <si>
    <t>G8495</t>
  </si>
  <si>
    <t>K-CKK-SS</t>
  </si>
  <si>
    <t>G8496</t>
  </si>
  <si>
    <t>K-CKK-KDW</t>
  </si>
  <si>
    <t>G8497</t>
  </si>
  <si>
    <t>K-CKK-VY</t>
  </si>
  <si>
    <t>G8498</t>
  </si>
  <si>
    <t>K-CKK-ZBC</t>
  </si>
  <si>
    <t>G8500</t>
  </si>
  <si>
    <t>K-CKK-2SS</t>
  </si>
  <si>
    <t>G8511</t>
  </si>
  <si>
    <t>K-CKS-1A</t>
  </si>
  <si>
    <t>G8512</t>
  </si>
  <si>
    <t>K-CKS-1A1</t>
  </si>
  <si>
    <t>G8513</t>
  </si>
  <si>
    <t>K-CKS-1A2</t>
  </si>
  <si>
    <t>G8514</t>
  </si>
  <si>
    <t>K-CKS-1A3</t>
  </si>
  <si>
    <t>G8515</t>
  </si>
  <si>
    <t>K-CKS-1B</t>
  </si>
  <si>
    <t>G8516</t>
  </si>
  <si>
    <t>K-CKS-1C</t>
  </si>
  <si>
    <t>G8517</t>
  </si>
  <si>
    <t>K-CKS-1C1</t>
  </si>
  <si>
    <t>G8518</t>
  </si>
  <si>
    <t>K-CKS-1M</t>
  </si>
  <si>
    <t>G8519</t>
  </si>
  <si>
    <t>K-CKS-2A</t>
  </si>
  <si>
    <t>G8520</t>
  </si>
  <si>
    <t>K-CKS-2A2</t>
  </si>
  <si>
    <t>11G8521-201706</t>
  </si>
  <si>
    <t>G8521</t>
  </si>
  <si>
    <t>K-CKS-2AM</t>
  </si>
  <si>
    <t>G8522</t>
  </si>
  <si>
    <t>K-CKS-2C</t>
  </si>
  <si>
    <t>G8525</t>
  </si>
  <si>
    <t>ｱK-CKS-2AM</t>
  </si>
  <si>
    <t>G8601</t>
  </si>
  <si>
    <t>K-KKU-VL</t>
  </si>
  <si>
    <t>G8602</t>
  </si>
  <si>
    <t>K-KKU-VR</t>
  </si>
  <si>
    <t>G8603</t>
  </si>
  <si>
    <t>K-KKU-L</t>
  </si>
  <si>
    <t>G8604</t>
  </si>
  <si>
    <t>K-KKU-R</t>
  </si>
  <si>
    <t>G9262</t>
  </si>
  <si>
    <t>5F-ﾊﾟﾗﾍﾟｯﾄｼﾞｮｲﾝﾄ</t>
  </si>
  <si>
    <t>G9263</t>
  </si>
  <si>
    <t>5F-LFZ</t>
  </si>
  <si>
    <t>G9264</t>
  </si>
  <si>
    <t>5F-LFZP</t>
  </si>
  <si>
    <t>J1181</t>
  </si>
  <si>
    <t>5K-KKU-L</t>
  </si>
  <si>
    <t>J1182</t>
  </si>
  <si>
    <t>5K-KKU-R</t>
  </si>
  <si>
    <t>J1301</t>
  </si>
  <si>
    <t>5K-CKK-1A</t>
  </si>
  <si>
    <t>J1302</t>
  </si>
  <si>
    <t>5K-CKK-1B</t>
  </si>
  <si>
    <t>J1303</t>
  </si>
  <si>
    <t>5K-CKK-1C</t>
  </si>
  <si>
    <t>J1304</t>
  </si>
  <si>
    <t>5K-CKK-1M</t>
  </si>
  <si>
    <t>J1305</t>
  </si>
  <si>
    <t>5K-CKK-2A1</t>
  </si>
  <si>
    <t>J1306</t>
  </si>
  <si>
    <t>5K-CKK-2A2</t>
  </si>
  <si>
    <t>J1307</t>
  </si>
  <si>
    <t>5K-CKK-2C</t>
  </si>
  <si>
    <t>J1308</t>
  </si>
  <si>
    <t>5K-CKK-3A</t>
  </si>
  <si>
    <t>J1309</t>
  </si>
  <si>
    <t>5K-CKK-4A</t>
  </si>
  <si>
    <t>J1310</t>
  </si>
  <si>
    <t>5K-CKK-SU</t>
  </si>
  <si>
    <t>J1311</t>
  </si>
  <si>
    <t>5K-CKK-BC</t>
  </si>
  <si>
    <t>J1312</t>
  </si>
  <si>
    <t>5K-CKK-KY</t>
  </si>
  <si>
    <t>J1313</t>
  </si>
  <si>
    <t>5K-CKK-ZBC</t>
  </si>
  <si>
    <t>J1321</t>
  </si>
  <si>
    <t>5F-CKK-KD</t>
  </si>
  <si>
    <t>J1322</t>
  </si>
  <si>
    <t>5F-CKK-CY</t>
  </si>
  <si>
    <t>J1331</t>
  </si>
  <si>
    <t>5K-CKS-1A</t>
  </si>
  <si>
    <t>J1332</t>
  </si>
  <si>
    <t>5K-CKS-1A1</t>
  </si>
  <si>
    <t>J1333</t>
  </si>
  <si>
    <t>5K-CKS-1A3</t>
  </si>
  <si>
    <t>J1334</t>
  </si>
  <si>
    <t>5K-CKS-2A</t>
  </si>
  <si>
    <t>J1335</t>
  </si>
  <si>
    <t>5K-CKS-2A2</t>
  </si>
  <si>
    <t>11J1336-201706</t>
  </si>
  <si>
    <t>J1336</t>
  </si>
  <si>
    <t>5K-CKS-2AM</t>
  </si>
  <si>
    <t>J1337</t>
  </si>
  <si>
    <t>5K-CKS-1B</t>
  </si>
  <si>
    <t>J1338</t>
  </si>
  <si>
    <t>5K-CKS-1C</t>
  </si>
  <si>
    <t>J1339</t>
  </si>
  <si>
    <t>5K-CKS-1C1</t>
  </si>
  <si>
    <t>J1340</t>
  </si>
  <si>
    <t>5K-CKS-2C</t>
  </si>
  <si>
    <t>J1341</t>
  </si>
  <si>
    <t>5K-CKS-1M</t>
  </si>
  <si>
    <t>J1342</t>
  </si>
  <si>
    <t>ｱ5K-CKS-2AM</t>
  </si>
  <si>
    <t>J1381</t>
  </si>
  <si>
    <t>5K-CKK-SS</t>
  </si>
  <si>
    <t>J1382</t>
  </si>
  <si>
    <t>5K-CKK-2SS</t>
  </si>
  <si>
    <t>J1383</t>
  </si>
  <si>
    <t>5F-CKK-KUR</t>
  </si>
  <si>
    <t>J1384</t>
  </si>
  <si>
    <t>5F-CKK-KUL</t>
  </si>
  <si>
    <t>J1391</t>
  </si>
  <si>
    <t>5K-CKU-1AL</t>
  </si>
  <si>
    <t>J1392</t>
  </si>
  <si>
    <t>5K-CKU-1AR</t>
  </si>
  <si>
    <t>J1393</t>
  </si>
  <si>
    <t>5K-CKU-1BL</t>
  </si>
  <si>
    <t>J1394</t>
  </si>
  <si>
    <t>5K-CKU-1BR</t>
  </si>
  <si>
    <t>J1395</t>
  </si>
  <si>
    <t>5K-CKU-1CL</t>
  </si>
  <si>
    <t>J1396</t>
  </si>
  <si>
    <t>5K-CKU-1CR</t>
  </si>
  <si>
    <t>J1397</t>
  </si>
  <si>
    <t>5K-CKU-1ML</t>
  </si>
  <si>
    <t>J1398</t>
  </si>
  <si>
    <t>5K-CKU-1MR</t>
  </si>
  <si>
    <t>J1399</t>
  </si>
  <si>
    <t>5K-CKU-2A</t>
  </si>
  <si>
    <t>J1400</t>
  </si>
  <si>
    <t>5K-CKU-2C</t>
  </si>
  <si>
    <t>J1401</t>
  </si>
  <si>
    <t>5K-CKU-3A</t>
  </si>
  <si>
    <t>S4692</t>
  </si>
  <si>
    <t>AS-CKK-1NN</t>
  </si>
  <si>
    <t>S4693</t>
  </si>
  <si>
    <t>AS-CKK-1TN</t>
  </si>
  <si>
    <t>S4694</t>
  </si>
  <si>
    <t>AS-CKK-1PN</t>
  </si>
  <si>
    <t>S4695</t>
  </si>
  <si>
    <t>AS-CKK-1TT</t>
  </si>
  <si>
    <t>S4696</t>
  </si>
  <si>
    <t>AS-CKK-1PT</t>
  </si>
  <si>
    <t>S4697</t>
  </si>
  <si>
    <t>AS-CKK-1HT</t>
  </si>
  <si>
    <t>S4698</t>
  </si>
  <si>
    <t>AS-CKK-2N</t>
  </si>
  <si>
    <t>S4699</t>
  </si>
  <si>
    <t>AS-CKK-2T</t>
  </si>
  <si>
    <t>S4700</t>
  </si>
  <si>
    <t>AS-CKK-2P</t>
  </si>
  <si>
    <t>S4701</t>
  </si>
  <si>
    <t>AS-CKK-3N</t>
  </si>
  <si>
    <t>S4702</t>
  </si>
  <si>
    <t>AS-CKK-4N</t>
  </si>
  <si>
    <t>S4703</t>
  </si>
  <si>
    <t>AS-CKK-GY</t>
  </si>
  <si>
    <t>S4704</t>
  </si>
  <si>
    <t>AS-CKK-KY</t>
  </si>
  <si>
    <t>S4705</t>
  </si>
  <si>
    <t>AS-CKK-KU</t>
  </si>
  <si>
    <t>S4706</t>
  </si>
  <si>
    <t>AS-CKK-BC(40BNｾｯﾄ)</t>
  </si>
  <si>
    <t>11S4707-201706</t>
  </si>
  <si>
    <t>S4707</t>
  </si>
  <si>
    <t>AS-CKK-BC(48BNｾｯﾄ)</t>
  </si>
  <si>
    <t>S4708</t>
  </si>
  <si>
    <t>AS-CKK-SU</t>
  </si>
  <si>
    <t>S4709</t>
  </si>
  <si>
    <t>AS-CKK-SS</t>
  </si>
  <si>
    <t>11S4710-201706</t>
  </si>
  <si>
    <t>S4710</t>
  </si>
  <si>
    <t>AS-CKK-KW</t>
  </si>
  <si>
    <t>S4711</t>
  </si>
  <si>
    <t>AS-CKK-SE</t>
  </si>
  <si>
    <t>S4712</t>
  </si>
  <si>
    <t>AS-CKK-1NNH</t>
  </si>
  <si>
    <t>S4713</t>
  </si>
  <si>
    <t>AS-CKK-2NH</t>
  </si>
  <si>
    <t>S4714</t>
  </si>
  <si>
    <t>AS-CKK-3NH</t>
  </si>
  <si>
    <t>S4715</t>
  </si>
  <si>
    <t>AS-CKK-GY2</t>
  </si>
  <si>
    <t>11X7000-190101</t>
  </si>
  <si>
    <t>X7000</t>
  </si>
  <si>
    <t>11X7001-190101</t>
  </si>
  <si>
    <t>X7001</t>
  </si>
  <si>
    <t>11X7002-190101</t>
  </si>
  <si>
    <t>X7002</t>
  </si>
  <si>
    <t>SP.ｱP-LK3-28</t>
  </si>
  <si>
    <t>11X7003-190101</t>
  </si>
  <si>
    <t>X7003</t>
  </si>
  <si>
    <t>SP.ｱF-LK3-06</t>
  </si>
  <si>
    <t>11X7005-190101</t>
  </si>
  <si>
    <t>X7005</t>
  </si>
  <si>
    <t>11X7010-190101</t>
  </si>
  <si>
    <t>X7010</t>
  </si>
  <si>
    <t>11X7011-190101</t>
  </si>
  <si>
    <t>X7011</t>
  </si>
  <si>
    <t>11X7012-190101</t>
  </si>
  <si>
    <t>X7012</t>
  </si>
  <si>
    <t>11X7013-190101</t>
  </si>
  <si>
    <t>X7013</t>
  </si>
  <si>
    <t>11X7014-190101</t>
  </si>
  <si>
    <t>X7014</t>
  </si>
  <si>
    <t>11X7897-190101</t>
  </si>
  <si>
    <t>X7897</t>
  </si>
  <si>
    <t>11X7898-190101</t>
  </si>
  <si>
    <t>X7898</t>
  </si>
  <si>
    <t>11X7899-190101</t>
  </si>
  <si>
    <t>X7899</t>
  </si>
  <si>
    <t>11X8430-190101</t>
  </si>
  <si>
    <t>X8430</t>
  </si>
  <si>
    <t>11X8467-190101</t>
  </si>
  <si>
    <t>X8467</t>
  </si>
  <si>
    <t>11X8469-190101</t>
  </si>
  <si>
    <t>X8469</t>
  </si>
  <si>
    <t>11X8470-190101</t>
  </si>
  <si>
    <t>X8470</t>
  </si>
  <si>
    <t>11X8910-190101</t>
  </si>
  <si>
    <t>X8910</t>
  </si>
  <si>
    <t>11X9999-190101</t>
  </si>
  <si>
    <t>X9999</t>
  </si>
  <si>
    <t>11XN015-201706</t>
  </si>
  <si>
    <t>XN015</t>
  </si>
  <si>
    <t>SP.K-CKK-1A</t>
  </si>
  <si>
    <t>11XN016-201706</t>
  </si>
  <si>
    <t>XN016</t>
  </si>
  <si>
    <t>SP.K-CKK-2A1</t>
  </si>
  <si>
    <t>11XN017-201706</t>
  </si>
  <si>
    <t>XN017</t>
  </si>
  <si>
    <t>SP.K-ﾊﾟﾗﾍﾟｯﾄｼﾞｮｲﾝﾄ</t>
  </si>
  <si>
    <t>XN021</t>
  </si>
  <si>
    <t>SP.MK-CKK-4A</t>
  </si>
  <si>
    <t>XN022</t>
  </si>
  <si>
    <t>SP.MK-CKK-2A1</t>
  </si>
  <si>
    <t>XN023</t>
  </si>
  <si>
    <t>SP.MK-CKK-2C</t>
  </si>
  <si>
    <t>11Y3959-201006</t>
  </si>
  <si>
    <t>Y3959</t>
  </si>
  <si>
    <t>(F-KNK)</t>
  </si>
  <si>
    <t>201006</t>
  </si>
  <si>
    <t>SP.SN-2C</t>
  </si>
  <si>
    <t>SP.K-EV11F4</t>
  </si>
  <si>
    <t>SP.K-EV11F6</t>
  </si>
  <si>
    <t>SP.K-EV11F7</t>
  </si>
  <si>
    <t>EL566</t>
  </si>
  <si>
    <t>EL567</t>
  </si>
  <si>
    <t>EL568</t>
  </si>
  <si>
    <t>H-CKK-1PNS</t>
  </si>
  <si>
    <t>H-CKK-2PS</t>
  </si>
  <si>
    <t>H-CKK-1PTS</t>
  </si>
  <si>
    <t>H3730</t>
  </si>
  <si>
    <t>U-CKK-1C</t>
  </si>
  <si>
    <t>H3731</t>
  </si>
  <si>
    <t>U-CKK-1T</t>
  </si>
  <si>
    <t>H3732</t>
  </si>
  <si>
    <t>U-CKK-1N</t>
  </si>
  <si>
    <t>H3733</t>
  </si>
  <si>
    <t>U-CKK-2C</t>
  </si>
  <si>
    <t>H3734</t>
  </si>
  <si>
    <t>U-CKK-4C</t>
  </si>
  <si>
    <t>H3735</t>
  </si>
  <si>
    <t>U-CKK-F</t>
  </si>
  <si>
    <t>S5223</t>
  </si>
  <si>
    <t>AS-CKK-KY2</t>
  </si>
  <si>
    <t>S5224</t>
  </si>
  <si>
    <t>AS-CKK-KY3</t>
  </si>
  <si>
    <t>S5225</t>
  </si>
  <si>
    <t>AS-CKK-KY62</t>
  </si>
  <si>
    <t>S5226</t>
  </si>
  <si>
    <t>AS-CKK-KY72</t>
  </si>
  <si>
    <t>201905</t>
  </si>
  <si>
    <t>11EL571-201905</t>
  </si>
  <si>
    <t>SP.K-CEA-ME1R</t>
  </si>
  <si>
    <t>SP.K-EVFDU-AE2</t>
  </si>
  <si>
    <t>SP.K-MEV13F1</t>
  </si>
  <si>
    <t>SP.K-CEA-ME2L</t>
  </si>
  <si>
    <t>SP.K-CEA-ME2R</t>
  </si>
  <si>
    <t>SP.K-GKKED-2ENM</t>
  </si>
  <si>
    <t>SP.K-GKK4-E27</t>
  </si>
  <si>
    <t>SP.J-LK6A-24L</t>
  </si>
  <si>
    <t>EL570</t>
  </si>
  <si>
    <t>ｱH-CKK-BC1</t>
  </si>
  <si>
    <t>K4800</t>
  </si>
  <si>
    <t>L-CKK-SS</t>
  </si>
  <si>
    <t>K4801</t>
  </si>
  <si>
    <t>L-CKK-2SS</t>
  </si>
  <si>
    <t>K4802</t>
  </si>
  <si>
    <t>L-CKU-1AL</t>
  </si>
  <si>
    <t>K4803</t>
  </si>
  <si>
    <t>L-CKU-1AR</t>
  </si>
  <si>
    <t>K4804</t>
  </si>
  <si>
    <t>L-CKU-1BL</t>
  </si>
  <si>
    <t>K4805</t>
  </si>
  <si>
    <t>L-CKU-1BR</t>
  </si>
  <si>
    <t>K4806</t>
  </si>
  <si>
    <t>L-CKU-1CL</t>
  </si>
  <si>
    <t>K4807</t>
  </si>
  <si>
    <t>L-CKU-1CR</t>
  </si>
  <si>
    <t>K4808</t>
  </si>
  <si>
    <t>L-CKU-1ML</t>
  </si>
  <si>
    <t>K4809</t>
  </si>
  <si>
    <t>L-CKU-1MR</t>
  </si>
  <si>
    <t>K4810</t>
  </si>
  <si>
    <t>L-CKU-2A</t>
  </si>
  <si>
    <t>K4811</t>
  </si>
  <si>
    <t>L-CKU-2C</t>
  </si>
  <si>
    <t>K4812</t>
  </si>
  <si>
    <t>L-CKU-3A</t>
  </si>
  <si>
    <t>K4816</t>
  </si>
  <si>
    <t>L-CKK-SU</t>
  </si>
  <si>
    <t>K5208</t>
  </si>
  <si>
    <t>L-ﾊﾟﾗﾍﾟｯﾄｼﾞｮｲﾝﾄ</t>
  </si>
  <si>
    <t>SP.K-LK6C-02</t>
  </si>
  <si>
    <t>SP.K-LK6C-03</t>
  </si>
  <si>
    <t>SP.K-LK6C-04</t>
  </si>
  <si>
    <t>EL608</t>
  </si>
  <si>
    <t>V-CKK-1PNS</t>
  </si>
  <si>
    <t>EL609</t>
  </si>
  <si>
    <t>V-CKK-1PTS</t>
  </si>
  <si>
    <t>EL610</t>
  </si>
  <si>
    <t>V-CKK-2PS</t>
  </si>
  <si>
    <t>EL611</t>
  </si>
  <si>
    <t>V-CKK-SU</t>
  </si>
  <si>
    <t>EL612</t>
  </si>
  <si>
    <t>V-CKK-SUU1</t>
  </si>
  <si>
    <t>EL617</t>
  </si>
  <si>
    <t>V-CKK-SS</t>
  </si>
  <si>
    <t>EL618</t>
  </si>
  <si>
    <t>V-CKK-SE</t>
  </si>
  <si>
    <t>EL619</t>
  </si>
  <si>
    <t>V-CKU-1NNR</t>
  </si>
  <si>
    <t>EL620</t>
  </si>
  <si>
    <t>V-CKU-1NNL</t>
  </si>
  <si>
    <t>EL621</t>
  </si>
  <si>
    <t>V-CKU-2N</t>
  </si>
  <si>
    <t>EL622</t>
  </si>
  <si>
    <t>V-CKU-2NM</t>
  </si>
  <si>
    <t>EL623</t>
  </si>
  <si>
    <t>V-CKU-1HKR</t>
  </si>
  <si>
    <t>EL624</t>
  </si>
  <si>
    <t>V-CKU-1HKL</t>
  </si>
  <si>
    <t>EL625</t>
  </si>
  <si>
    <t>V-CKU-2HK</t>
  </si>
  <si>
    <t>EP277</t>
  </si>
  <si>
    <t>V-ﾊﾟﾗﾍﾟｯﾄｼﾞｮｲﾝﾄT</t>
  </si>
  <si>
    <t>J1421</t>
  </si>
  <si>
    <t>5L-ﾊﾟﾗﾍﾟｯﾄｼﾞｮｲﾝﾄ</t>
  </si>
  <si>
    <t>J1736</t>
  </si>
  <si>
    <t>5L-CKK-SU</t>
  </si>
  <si>
    <t>J1737</t>
  </si>
  <si>
    <t>5L-CKK-SS</t>
  </si>
  <si>
    <t>J1738</t>
  </si>
  <si>
    <t>5L-CKK-2SS</t>
  </si>
  <si>
    <t>J1739</t>
  </si>
  <si>
    <t>5L-CKU-1AL</t>
  </si>
  <si>
    <t>J1740</t>
  </si>
  <si>
    <t>5L-CKU-1AR</t>
  </si>
  <si>
    <t>J1741</t>
  </si>
  <si>
    <t>5L-CKU-1BL</t>
  </si>
  <si>
    <t>J1742</t>
  </si>
  <si>
    <t>5L-CKU-1BR</t>
  </si>
  <si>
    <t>J1743</t>
  </si>
  <si>
    <t>5L-CKU-1CL</t>
  </si>
  <si>
    <t>J1744</t>
  </si>
  <si>
    <t>5L-CKU-1CR</t>
  </si>
  <si>
    <t>J1745</t>
  </si>
  <si>
    <t>5L-CKU-1ML</t>
  </si>
  <si>
    <t>J1746</t>
  </si>
  <si>
    <t>5L-CKU-1MR</t>
  </si>
  <si>
    <t>J1747</t>
  </si>
  <si>
    <t>5L-CKU-2A</t>
  </si>
  <si>
    <t>J1748</t>
  </si>
  <si>
    <t>5L-CKU-2C</t>
  </si>
  <si>
    <t>J1749</t>
  </si>
  <si>
    <t>5L-CKU-3A</t>
  </si>
  <si>
    <t>J1750</t>
  </si>
  <si>
    <t>5L-CKU-1DAL</t>
  </si>
  <si>
    <t>J1751</t>
  </si>
  <si>
    <t>5L-CKU-1DAR</t>
  </si>
  <si>
    <t>J1752</t>
  </si>
  <si>
    <t>5L-CKU-2DA</t>
  </si>
  <si>
    <t>K4819</t>
  </si>
  <si>
    <t>L-CKK-SH</t>
  </si>
  <si>
    <t>PPP0066-201502</t>
  </si>
  <si>
    <t>P0066</t>
  </si>
  <si>
    <t>.SZS-K</t>
  </si>
  <si>
    <t>201502</t>
  </si>
  <si>
    <t>S3174</t>
  </si>
  <si>
    <t>NJS2</t>
  </si>
  <si>
    <t>11S5562-202110</t>
  </si>
  <si>
    <t>S5562</t>
  </si>
  <si>
    <t>ﾘF-ﾊﾟﾗﾍﾟｯﾄｼﾞｮｲﾝﾄ</t>
  </si>
  <si>
    <t>202110</t>
  </si>
  <si>
    <t>11S5814-202110</t>
  </si>
  <si>
    <t>S5814</t>
  </si>
  <si>
    <t>ﾘK-CKK-SU</t>
  </si>
  <si>
    <t>S5815</t>
  </si>
  <si>
    <t>ﾘK-CKK-SS</t>
  </si>
  <si>
    <t>11S5816-202110</t>
  </si>
  <si>
    <t>S5816</t>
  </si>
  <si>
    <t>ﾘK-CKK-2SS</t>
  </si>
  <si>
    <t>S5817</t>
  </si>
  <si>
    <t>ﾘK-CKK-ZBC</t>
  </si>
  <si>
    <t>11S5818-202110</t>
  </si>
  <si>
    <t>S5818</t>
  </si>
  <si>
    <t>ﾘK-CKU-1AR</t>
  </si>
  <si>
    <t>11S5819-202110</t>
  </si>
  <si>
    <t>S5819</t>
  </si>
  <si>
    <t>ﾘK-CKU-1AL</t>
  </si>
  <si>
    <t>11S5820-202110</t>
  </si>
  <si>
    <t>S5820</t>
  </si>
  <si>
    <t>ﾘK-CKU-2A</t>
  </si>
  <si>
    <t>11S5821-202110</t>
  </si>
  <si>
    <t>S5821</t>
  </si>
  <si>
    <t>ﾘK-CKU-3A</t>
  </si>
  <si>
    <t>11S5822-202110</t>
  </si>
  <si>
    <t>S5822</t>
  </si>
  <si>
    <t>ﾘK-CKU-1BR</t>
  </si>
  <si>
    <t>11S5823-202110</t>
  </si>
  <si>
    <t>S5823</t>
  </si>
  <si>
    <t>ﾘK-CKU-1BL</t>
  </si>
  <si>
    <t>11S5824-202110</t>
  </si>
  <si>
    <t>S5824</t>
  </si>
  <si>
    <t>ﾘK-CKU-1CR</t>
  </si>
  <si>
    <t>11S5825-202110</t>
  </si>
  <si>
    <t>S5825</t>
  </si>
  <si>
    <t>ﾘK-CKU-1CL</t>
  </si>
  <si>
    <t>11S5826-202110</t>
  </si>
  <si>
    <t>S5826</t>
  </si>
  <si>
    <t>ﾘK-CKU-2C</t>
  </si>
  <si>
    <t>11S5827-202110</t>
  </si>
  <si>
    <t>S5827</t>
  </si>
  <si>
    <t>ﾘK-CKU-1MR</t>
  </si>
  <si>
    <t>11S5828-202110</t>
  </si>
  <si>
    <t>S5828</t>
  </si>
  <si>
    <t>ﾘK-CKU-1ML</t>
  </si>
  <si>
    <t>S6129</t>
  </si>
  <si>
    <t>ﾘF-CKK-SU</t>
  </si>
  <si>
    <t>202201</t>
  </si>
  <si>
    <t>S6130</t>
  </si>
  <si>
    <t>ﾘF-CKK-SUN</t>
  </si>
  <si>
    <t>S6131</t>
  </si>
  <si>
    <t>ﾘF-CKK-SUU1</t>
  </si>
  <si>
    <t>S6132</t>
  </si>
  <si>
    <t>ﾘF-CKK-SS</t>
  </si>
  <si>
    <t>S6133</t>
  </si>
  <si>
    <t>ﾘF-CKK-SE</t>
  </si>
  <si>
    <t>S6134</t>
  </si>
  <si>
    <t>ﾘF-CKU-1NNR</t>
  </si>
  <si>
    <t>S6135</t>
  </si>
  <si>
    <t>ﾘF-CKU-1NNL</t>
  </si>
  <si>
    <t>S6136</t>
  </si>
  <si>
    <t>ﾘF-CKU-2N</t>
  </si>
  <si>
    <t>S6137</t>
  </si>
  <si>
    <t>ﾘF-CKU-2NM</t>
  </si>
  <si>
    <t>S6138</t>
  </si>
  <si>
    <t>ﾘF-CKU-2T</t>
  </si>
  <si>
    <t>S6139</t>
  </si>
  <si>
    <t>ﾘF-CKU-1HKR</t>
  </si>
  <si>
    <t>S6140</t>
  </si>
  <si>
    <t>ﾘF-CKU-1HKL</t>
  </si>
  <si>
    <t>S6141</t>
  </si>
  <si>
    <t>ﾘF-CKU-2HK</t>
  </si>
  <si>
    <t>S6142</t>
  </si>
  <si>
    <t>ﾘF-CKU-SUR</t>
  </si>
  <si>
    <t>S6143</t>
  </si>
  <si>
    <t>ﾘF-CKU-SUL</t>
  </si>
  <si>
    <t>11EL566-202201</t>
  </si>
  <si>
    <t>11EL567-202201</t>
  </si>
  <si>
    <t>11EL568-202201</t>
  </si>
  <si>
    <t>11EL570-202201</t>
  </si>
  <si>
    <t>11EL601-202201</t>
  </si>
  <si>
    <t>11EL602-202201</t>
  </si>
  <si>
    <t>11EL603-202201</t>
  </si>
  <si>
    <t>11EL604-202201</t>
  </si>
  <si>
    <t>11EL605-202201</t>
  </si>
  <si>
    <t>11EL606-202201</t>
  </si>
  <si>
    <t>11FL806-202201</t>
  </si>
  <si>
    <t>11FL807-202201</t>
  </si>
  <si>
    <t>11FL810-202201</t>
  </si>
  <si>
    <t>11FL829-202201</t>
  </si>
  <si>
    <t>11FL830-202201</t>
  </si>
  <si>
    <t>11FL858-202201</t>
  </si>
  <si>
    <t>11FL859-202201</t>
  </si>
  <si>
    <t>11FL860-202201</t>
  </si>
  <si>
    <t>11FL861-202201</t>
  </si>
  <si>
    <t>11FL865-202201</t>
  </si>
  <si>
    <t>11FL866-202201</t>
  </si>
  <si>
    <t>11FL867-202201</t>
  </si>
  <si>
    <t>11FL868-202201</t>
  </si>
  <si>
    <t>11FL872-202201</t>
  </si>
  <si>
    <t>11FL878-202201</t>
  </si>
  <si>
    <t>11FP451-202201</t>
  </si>
  <si>
    <t>11G8461-202201</t>
  </si>
  <si>
    <t>11G8462-202201</t>
  </si>
  <si>
    <t>11G8463-202201</t>
  </si>
  <si>
    <t>11G8464-202201</t>
  </si>
  <si>
    <t>11G8465-202201</t>
  </si>
  <si>
    <t>11G8466-202201</t>
  </si>
  <si>
    <t>11G8467-202201</t>
  </si>
  <si>
    <t>11G8468-202201</t>
  </si>
  <si>
    <t>11G8469-202201</t>
  </si>
  <si>
    <t>11G8470-202201</t>
  </si>
  <si>
    <t>11G8471-202201</t>
  </si>
  <si>
    <t>11G8491-202201</t>
  </si>
  <si>
    <t>11G8495-202201</t>
  </si>
  <si>
    <t>11G8498-202201</t>
  </si>
  <si>
    <t>11G8500-202201</t>
  </si>
  <si>
    <t>11J1310-202201</t>
  </si>
  <si>
    <t>11J1313-202201</t>
  </si>
  <si>
    <t>11J1322-202201</t>
  </si>
  <si>
    <t>11J1381-202201</t>
  </si>
  <si>
    <t>11J1382-202201</t>
  </si>
  <si>
    <t>11J1391-202201</t>
  </si>
  <si>
    <t>11J1392-202201</t>
  </si>
  <si>
    <t>11J1393-202201</t>
  </si>
  <si>
    <t>11J1394-202201</t>
  </si>
  <si>
    <t>11J1395-202201</t>
  </si>
  <si>
    <t>11J1396-202201</t>
  </si>
  <si>
    <t>11J1397-202201</t>
  </si>
  <si>
    <t>11J1398-202201</t>
  </si>
  <si>
    <t>11J1399-202201</t>
  </si>
  <si>
    <t>11J1400-202201</t>
  </si>
  <si>
    <t>11J1401-202201</t>
  </si>
  <si>
    <t>11S4692-202201</t>
  </si>
  <si>
    <t>11S4693-202201</t>
  </si>
  <si>
    <t>11S4694-202201</t>
  </si>
  <si>
    <t>11S4695-202201</t>
  </si>
  <si>
    <t>11S4696-202201</t>
  </si>
  <si>
    <t>11S4697-202201</t>
  </si>
  <si>
    <t>11S4698-202201</t>
  </si>
  <si>
    <t>11S4699-202201</t>
  </si>
  <si>
    <t>11S4700-202201</t>
  </si>
  <si>
    <t>11S4701-202201</t>
  </si>
  <si>
    <t>11S4702-202201</t>
  </si>
  <si>
    <t>11S4703-202201</t>
  </si>
  <si>
    <t>11S4704-202201</t>
  </si>
  <si>
    <t>11S4705-202201</t>
  </si>
  <si>
    <t>11S4706-202201</t>
  </si>
  <si>
    <t>11S4708-202201</t>
  </si>
  <si>
    <t>11S4709-202201</t>
  </si>
  <si>
    <t>11S4711-202201</t>
  </si>
  <si>
    <t>11S4712-202201</t>
  </si>
  <si>
    <t>11S4713-202201</t>
  </si>
  <si>
    <t>11S4714-202201</t>
  </si>
  <si>
    <t>11S4715-202201</t>
  </si>
  <si>
    <t>K5697</t>
  </si>
  <si>
    <t>K5698</t>
  </si>
  <si>
    <t>K5699</t>
  </si>
  <si>
    <t>K5700</t>
  </si>
  <si>
    <t>L-CKK-2N</t>
  </si>
  <si>
    <t>L-CKK-4N</t>
  </si>
  <si>
    <t>L-CKK-1TN</t>
  </si>
  <si>
    <t>L-CKK-2T</t>
  </si>
  <si>
    <t>H3860</t>
  </si>
  <si>
    <t>U-CKK-1T4</t>
  </si>
  <si>
    <t>11S6129-202207</t>
  </si>
  <si>
    <t>202207</t>
  </si>
  <si>
    <t>11S6130-202207</t>
  </si>
  <si>
    <t>11S6131-202207</t>
  </si>
  <si>
    <t>11S6132-202207</t>
  </si>
  <si>
    <t>11S6133-202207</t>
  </si>
  <si>
    <t>11S6134-202207</t>
  </si>
  <si>
    <t>11S6135-202207</t>
  </si>
  <si>
    <t>11S6136-202207</t>
  </si>
  <si>
    <t>11S6137-202207</t>
  </si>
  <si>
    <t>11S6138-202207</t>
  </si>
  <si>
    <t>11S6139-202207</t>
  </si>
  <si>
    <t>11S6140-202207</t>
  </si>
  <si>
    <t>11S6141-202207</t>
  </si>
  <si>
    <t>11S6142-202207</t>
  </si>
  <si>
    <t>11S6143-202207</t>
  </si>
  <si>
    <t>11S6454-202207</t>
  </si>
  <si>
    <t>S6454</t>
  </si>
  <si>
    <t>ﾘH-CKK-BC1</t>
  </si>
  <si>
    <t>11S6455-202207</t>
  </si>
  <si>
    <t>S6455</t>
  </si>
  <si>
    <t>ﾘG-CKU-SUBR</t>
  </si>
  <si>
    <t>11S6456-202207</t>
  </si>
  <si>
    <t>S6456</t>
  </si>
  <si>
    <t>ﾘG-CKU-SUBL</t>
  </si>
  <si>
    <t>11S6457-202207</t>
  </si>
  <si>
    <t>S6457</t>
  </si>
  <si>
    <t>ﾘG-CKU-SUKR</t>
  </si>
  <si>
    <t>11S6458-202207</t>
  </si>
  <si>
    <t>S6458</t>
  </si>
  <si>
    <t>ﾘG-CKU-SUKL</t>
  </si>
  <si>
    <t>11S6459-202207</t>
  </si>
  <si>
    <t>S6459</t>
  </si>
  <si>
    <t>ﾘG-CKU-SUSR</t>
  </si>
  <si>
    <t>11S6460-202207</t>
  </si>
  <si>
    <t>S6460</t>
  </si>
  <si>
    <t>ﾘG-CKU-SUSL</t>
  </si>
  <si>
    <t>11S6461-202207</t>
  </si>
  <si>
    <t>S6461</t>
  </si>
  <si>
    <t>ﾘH-CKK-1PNS</t>
  </si>
  <si>
    <t>11S6462-202207</t>
  </si>
  <si>
    <t>S6462</t>
  </si>
  <si>
    <t>ﾘH-CKK-2PS</t>
  </si>
  <si>
    <t>11S6463-202207</t>
  </si>
  <si>
    <t>S6463</t>
  </si>
  <si>
    <t>ﾘH-CKK-1PTS</t>
  </si>
  <si>
    <t>11S6688-202212</t>
  </si>
  <si>
    <t>S6688</t>
  </si>
  <si>
    <t>ﾘF-CKK-SUU2</t>
  </si>
  <si>
    <t>202212</t>
  </si>
  <si>
    <t>11S6689-202212</t>
  </si>
  <si>
    <t>S6689</t>
  </si>
  <si>
    <t>ﾘF-CKU-1TNR</t>
  </si>
  <si>
    <t>11S6690-202212</t>
  </si>
  <si>
    <t>S6690</t>
  </si>
  <si>
    <t>ﾘF-CKU-1TNL</t>
  </si>
  <si>
    <t>11S6691-202212</t>
  </si>
  <si>
    <t>S6691</t>
  </si>
  <si>
    <t>ﾘF-CKU-1TTR</t>
  </si>
  <si>
    <t>11S6692-202212</t>
  </si>
  <si>
    <t>S6692</t>
  </si>
  <si>
    <t>ﾘF-CKU-1TTL</t>
  </si>
  <si>
    <t>11S6693-202212</t>
  </si>
  <si>
    <t>S6693</t>
  </si>
  <si>
    <t>ﾘF-CKU-1HK2R</t>
  </si>
  <si>
    <t>11S6694-202212</t>
  </si>
  <si>
    <t>S6694</t>
  </si>
  <si>
    <t>ﾘF-CKU-1HK2L</t>
  </si>
  <si>
    <t>G8499</t>
  </si>
  <si>
    <t>L-CKK-CV</t>
  </si>
  <si>
    <t>11S6661-202304</t>
  </si>
  <si>
    <t>S6661</t>
  </si>
  <si>
    <t>ﾘF-CKK-CY</t>
  </si>
  <si>
    <t>202304</t>
  </si>
  <si>
    <t>SP.FEM11SLU</t>
  </si>
  <si>
    <t>11K6599-202306</t>
  </si>
  <si>
    <t>K6599</t>
  </si>
  <si>
    <t>L-CKK-ZBC</t>
  </si>
  <si>
    <t>202306</t>
  </si>
  <si>
    <t>H5413</t>
  </si>
  <si>
    <t>U-ﾊﾟﾗﾍﾟｯﾄｼﾞｮｲﾝﾄ</t>
  </si>
  <si>
    <t>116206X-190101</t>
  </si>
  <si>
    <t>6206X</t>
  </si>
  <si>
    <t>SP.WWFﾎﾞﾙﾄ</t>
  </si>
  <si>
    <t>11G8480-202312</t>
  </si>
  <si>
    <t>G8480</t>
  </si>
  <si>
    <t>ｱK-CKK-1M</t>
  </si>
  <si>
    <t>202312</t>
  </si>
  <si>
    <t>11G8523-202312</t>
  </si>
  <si>
    <t>G8523</t>
  </si>
  <si>
    <t>ｱK-CKS-1M</t>
  </si>
  <si>
    <t>11K7143-202312</t>
  </si>
  <si>
    <t>K7143</t>
  </si>
  <si>
    <t>L-CKK-1TK</t>
  </si>
  <si>
    <t>11G8526-202408</t>
  </si>
  <si>
    <t>G8526</t>
  </si>
  <si>
    <t>WWF-X</t>
  </si>
  <si>
    <t>202408</t>
  </si>
  <si>
    <t>11G8527-202408</t>
  </si>
  <si>
    <t>G8527</t>
  </si>
  <si>
    <t>HWWF-X</t>
  </si>
  <si>
    <t>202410</t>
  </si>
  <si>
    <t>11FL879-202410</t>
  </si>
  <si>
    <t>11G9262-202410</t>
  </si>
  <si>
    <t>11J1311-202410</t>
  </si>
  <si>
    <t>11J1321-202410</t>
  </si>
  <si>
    <t>11J1383-202410</t>
  </si>
  <si>
    <t>11J1384-202410</t>
  </si>
  <si>
    <t>11J1421-202410</t>
  </si>
  <si>
    <t>11J1736-202410</t>
  </si>
  <si>
    <t>11J1738-202410</t>
  </si>
  <si>
    <t>202501</t>
  </si>
  <si>
    <t>11EL610-202501</t>
  </si>
  <si>
    <t>11EL612-202501</t>
  </si>
  <si>
    <t>11EL625-202501</t>
  </si>
  <si>
    <t>11FL815-202501</t>
  </si>
  <si>
    <t>11FL818-202501</t>
  </si>
  <si>
    <t>11FL822-202501</t>
  </si>
  <si>
    <t>11FL869-202501</t>
  </si>
  <si>
    <t>11FL871-202501</t>
  </si>
  <si>
    <t>11FL883-202501</t>
  </si>
  <si>
    <t>11FL884-202501</t>
  </si>
  <si>
    <t>11FL945-202501</t>
  </si>
  <si>
    <t>11FL947-202501</t>
  </si>
  <si>
    <t>11FL948-202501</t>
  </si>
  <si>
    <t>11FL952-202501</t>
  </si>
  <si>
    <t>11FL954-202501</t>
  </si>
  <si>
    <t>11G8484-202501</t>
  </si>
  <si>
    <t>11G8489-202501</t>
  </si>
  <si>
    <t>11G8513-202501</t>
  </si>
  <si>
    <t>11G8518-202501</t>
  </si>
  <si>
    <t>11G8601-202501</t>
  </si>
  <si>
    <t>11G8602-202501</t>
  </si>
  <si>
    <t>11G9502-202412</t>
  </si>
  <si>
    <t>G9502</t>
  </si>
  <si>
    <t>ｱK-CKS-1A</t>
  </si>
  <si>
    <t>202412</t>
  </si>
  <si>
    <t>11G9503-202412</t>
  </si>
  <si>
    <t>G9503</t>
  </si>
  <si>
    <t>ｱK-CKS-1A1</t>
  </si>
  <si>
    <t>11G9504-202412</t>
  </si>
  <si>
    <t>G9504</t>
  </si>
  <si>
    <t>ｱK-CKS-1A2</t>
  </si>
  <si>
    <t>11G9505-202412</t>
  </si>
  <si>
    <t>G9505</t>
  </si>
  <si>
    <t>ｱK-CKS-1A3</t>
  </si>
  <si>
    <t>11G9506-202412</t>
  </si>
  <si>
    <t>G9506</t>
  </si>
  <si>
    <t>ｱK-CKS-2A</t>
  </si>
  <si>
    <t>11G9507-202412</t>
  </si>
  <si>
    <t>G9507</t>
  </si>
  <si>
    <t>ｱK-CKS-2A2</t>
  </si>
  <si>
    <t>11G9508-202412</t>
  </si>
  <si>
    <t>G9508</t>
  </si>
  <si>
    <t>ｲK-CKS-2AM</t>
  </si>
  <si>
    <t>11G9509-202412</t>
  </si>
  <si>
    <t>G9509</t>
  </si>
  <si>
    <t>ｱK-CKS-1B</t>
  </si>
  <si>
    <t>11G9510-202412</t>
  </si>
  <si>
    <t>G9510</t>
  </si>
  <si>
    <t>ｱK-CKS-1C</t>
  </si>
  <si>
    <t>11G9511-202412</t>
  </si>
  <si>
    <t>G9511</t>
  </si>
  <si>
    <t>ｱK-CKS-1C1</t>
  </si>
  <si>
    <t>11G9512-202412</t>
  </si>
  <si>
    <t>G9512</t>
  </si>
  <si>
    <t>ｱK-CKS-2C</t>
  </si>
  <si>
    <t>11G9513-202412</t>
  </si>
  <si>
    <t>G9513</t>
  </si>
  <si>
    <t>ｲK-CKS-1M</t>
  </si>
  <si>
    <t>11G9514-202412</t>
  </si>
  <si>
    <t>G9514</t>
  </si>
  <si>
    <t>ｱF-CKS-1NN</t>
  </si>
  <si>
    <t>11G9515-202412</t>
  </si>
  <si>
    <t>G9515</t>
  </si>
  <si>
    <t>ｱF-CKS-1TN</t>
  </si>
  <si>
    <t>11G9516-202412</t>
  </si>
  <si>
    <t>G9516</t>
  </si>
  <si>
    <t>ｱF-CKS-1TT</t>
  </si>
  <si>
    <t>11G9517-202412</t>
  </si>
  <si>
    <t>G9517</t>
  </si>
  <si>
    <t>ｱF-CKS-2N</t>
  </si>
  <si>
    <t>11G9518-202412</t>
  </si>
  <si>
    <t>G9518</t>
  </si>
  <si>
    <t>ｱF-CKS-2T</t>
  </si>
  <si>
    <t>11G9519-202412</t>
  </si>
  <si>
    <t>G9519</t>
  </si>
  <si>
    <t>ｱF-CKS-2NM</t>
  </si>
  <si>
    <t>11G9520-202412</t>
  </si>
  <si>
    <t>G9520</t>
  </si>
  <si>
    <t>ｱF-CKS-1N1</t>
  </si>
  <si>
    <t>11G9521-202412</t>
  </si>
  <si>
    <t>G9521</t>
  </si>
  <si>
    <t>ｱF-CKS-1T1</t>
  </si>
  <si>
    <t>11G9522-202412</t>
  </si>
  <si>
    <t>G9522</t>
  </si>
  <si>
    <t>ｱF-CKS-1N2</t>
  </si>
  <si>
    <t>11G9523-202412</t>
  </si>
  <si>
    <t>G9523</t>
  </si>
  <si>
    <t>ｱF-CKS-1N3</t>
  </si>
  <si>
    <t>11G9524-202412</t>
  </si>
  <si>
    <t>G9524</t>
  </si>
  <si>
    <t>ｱF-CKS-2N2</t>
  </si>
  <si>
    <t>11H3731-202501</t>
  </si>
  <si>
    <t>11J1181-202501</t>
  </si>
  <si>
    <t>11J1182-202501</t>
  </si>
  <si>
    <t>11J1302-202501</t>
  </si>
  <si>
    <t>11J1303-202501</t>
  </si>
  <si>
    <t>11J1304-202501</t>
  </si>
  <si>
    <t>11J1306-202501</t>
  </si>
  <si>
    <t>11J1307-202501</t>
  </si>
  <si>
    <t>11J1308-202501</t>
  </si>
  <si>
    <t>11J1309-202501</t>
  </si>
  <si>
    <t>11J1312-202501</t>
  </si>
  <si>
    <t>11J1333-202501</t>
  </si>
  <si>
    <t>11J1334-202501</t>
  </si>
  <si>
    <t>11J1335-202501</t>
  </si>
  <si>
    <t>11J1338-202501</t>
  </si>
  <si>
    <t>11J1339-202501</t>
  </si>
  <si>
    <t>11J1340-202501</t>
  </si>
  <si>
    <t>11J1341-202501</t>
  </si>
  <si>
    <t>11J1342-202501</t>
  </si>
  <si>
    <t>11J1737-202501</t>
  </si>
  <si>
    <t>11J1745-202501</t>
  </si>
  <si>
    <t>11J1746-202501</t>
  </si>
  <si>
    <t>11K4808-202501</t>
  </si>
  <si>
    <t>11K4809-202501</t>
  </si>
  <si>
    <t>11K5698-202501</t>
  </si>
  <si>
    <t>11K7148-202412</t>
  </si>
  <si>
    <t>K7148</t>
  </si>
  <si>
    <t>L-CKK-1PN</t>
  </si>
  <si>
    <t>11K7149-202412</t>
  </si>
  <si>
    <t>K7149</t>
  </si>
  <si>
    <t>L-CKK-1PNS</t>
  </si>
  <si>
    <t>11K7150-202412</t>
  </si>
  <si>
    <t>K7150</t>
  </si>
  <si>
    <t>L-CKK-2P</t>
  </si>
  <si>
    <t>11K7151-202412</t>
  </si>
  <si>
    <t>K7151</t>
  </si>
  <si>
    <t>L-CKK-2PS</t>
  </si>
  <si>
    <t>11S5225-202501</t>
  </si>
  <si>
    <t>11XN021-202501</t>
  </si>
  <si>
    <t>11XN022-202501</t>
  </si>
  <si>
    <t>11XN023-202501</t>
  </si>
  <si>
    <t>1183073-202504</t>
  </si>
  <si>
    <t>202504</t>
  </si>
  <si>
    <t>11EL608-202504</t>
  </si>
  <si>
    <t>11EL609-202504</t>
  </si>
  <si>
    <t>11EL611-202504</t>
  </si>
  <si>
    <t>11EL617-202504</t>
  </si>
  <si>
    <t>11EL618-202504</t>
  </si>
  <si>
    <t>11EL619-202504</t>
  </si>
  <si>
    <t>11EL620-202504</t>
  </si>
  <si>
    <t>11EL621-202504</t>
  </si>
  <si>
    <t>11EL622-202504</t>
  </si>
  <si>
    <t>11EL623-202504</t>
  </si>
  <si>
    <t>11EL624-202504</t>
  </si>
  <si>
    <t>11FL800-202504</t>
  </si>
  <si>
    <t>11FL809-202504</t>
  </si>
  <si>
    <t>11FL811-202504</t>
  </si>
  <si>
    <t>11FL812-202504</t>
  </si>
  <si>
    <t>11FL813-202504</t>
  </si>
  <si>
    <t>11FL814-202504</t>
  </si>
  <si>
    <t>11FL816-202504</t>
  </si>
  <si>
    <t>11FL817-202504</t>
  </si>
  <si>
    <t>11FL819-202504</t>
  </si>
  <si>
    <t>11FL820-202504</t>
  </si>
  <si>
    <t>11FL821-202504</t>
  </si>
  <si>
    <t>11FL823-202504</t>
  </si>
  <si>
    <t>11FL824-202504</t>
  </si>
  <si>
    <t>11FL851-202504</t>
  </si>
  <si>
    <t>11FL852-202504</t>
  </si>
  <si>
    <t>11FL853-202504</t>
  </si>
  <si>
    <t>11FL874-202504</t>
  </si>
  <si>
    <t>11FL875-202504</t>
  </si>
  <si>
    <t>11FL880-202504</t>
  </si>
  <si>
    <t>11FL941-202504</t>
  </si>
  <si>
    <t>11FL943-202504</t>
  </si>
  <si>
    <t>11FL944-202504</t>
  </si>
  <si>
    <t>11FL949-202504</t>
  </si>
  <si>
    <t>11FL951-202504</t>
  </si>
  <si>
    <t>11FL953-202504</t>
  </si>
  <si>
    <t>11G8330-202504</t>
  </si>
  <si>
    <t>11G8390-202504</t>
  </si>
  <si>
    <t>11G8481-202504</t>
  </si>
  <si>
    <t>11G8482-202504</t>
  </si>
  <si>
    <t>11G8483-202504</t>
  </si>
  <si>
    <t>11G8485-202504</t>
  </si>
  <si>
    <t>11G8486-202504</t>
  </si>
  <si>
    <t>11G8487-202504</t>
  </si>
  <si>
    <t>11G8488-202504</t>
  </si>
  <si>
    <t>11G8490-202504</t>
  </si>
  <si>
    <t>11G8492-202504</t>
  </si>
  <si>
    <t>11G8493-202504</t>
  </si>
  <si>
    <t>11G8494-202504</t>
  </si>
  <si>
    <t>11G8496-202504</t>
  </si>
  <si>
    <t>11G8497-202504</t>
  </si>
  <si>
    <t>11G8499-202504</t>
  </si>
  <si>
    <t>11G8511-202504</t>
  </si>
  <si>
    <t>11G8512-202504</t>
  </si>
  <si>
    <t>11G8514-202504</t>
  </si>
  <si>
    <t>11G8515-202504</t>
  </si>
  <si>
    <t>11G8516-202504</t>
  </si>
  <si>
    <t>11G8517-202504</t>
  </si>
  <si>
    <t>11G8519-202504</t>
  </si>
  <si>
    <t>11G8520-202504</t>
  </si>
  <si>
    <t>11G8522-202504</t>
  </si>
  <si>
    <t>11G8525-202504</t>
  </si>
  <si>
    <t>11G8603-202504</t>
  </si>
  <si>
    <t>11G8604-202504</t>
  </si>
  <si>
    <t>11G9263-202504</t>
  </si>
  <si>
    <t>11G9264-202504</t>
  </si>
  <si>
    <t>11H3730-202504</t>
  </si>
  <si>
    <t>11H3732-202504</t>
  </si>
  <si>
    <t>11H3733-202504</t>
  </si>
  <si>
    <t>11H3734-202504</t>
  </si>
  <si>
    <t>11H3735-202504</t>
  </si>
  <si>
    <t>11H3860-202504</t>
  </si>
  <si>
    <t>11J1301-202504</t>
  </si>
  <si>
    <t>11J1305-202504</t>
  </si>
  <si>
    <t>11J1331-202504</t>
  </si>
  <si>
    <t>11J1332-202504</t>
  </si>
  <si>
    <t>11J1337-202504</t>
  </si>
  <si>
    <t>11J1739-202504</t>
  </si>
  <si>
    <t>11J1740-202504</t>
  </si>
  <si>
    <t>11J1741-202504</t>
  </si>
  <si>
    <t>11J1742-202504</t>
  </si>
  <si>
    <t>11J1743-202504</t>
  </si>
  <si>
    <t>11J1744-202504</t>
  </si>
  <si>
    <t>11J1747-202504</t>
  </si>
  <si>
    <t>11J1748-202504</t>
  </si>
  <si>
    <t>11J1749-202504</t>
  </si>
  <si>
    <t>11J1750-202504</t>
  </si>
  <si>
    <t>11J1751-202504</t>
  </si>
  <si>
    <t>11J1752-202504</t>
  </si>
  <si>
    <t>11K4800-202504</t>
  </si>
  <si>
    <t>11K4801-202504</t>
  </si>
  <si>
    <t>11K4802-202504</t>
  </si>
  <si>
    <t>11K4803-202504</t>
  </si>
  <si>
    <t>11K4804-202504</t>
  </si>
  <si>
    <t>11K4805-202504</t>
  </si>
  <si>
    <t>11K4806-202504</t>
  </si>
  <si>
    <t>11K4807-202504</t>
  </si>
  <si>
    <t>11K4810-202504</t>
  </si>
  <si>
    <t>11K4811-202504</t>
  </si>
  <si>
    <t>11K4812-202504</t>
  </si>
  <si>
    <t>11K4816-202504</t>
  </si>
  <si>
    <t>11K4819-202504</t>
  </si>
  <si>
    <t>11K5697-202504</t>
  </si>
  <si>
    <t>11K5699-202504</t>
  </si>
  <si>
    <t>11K5700-202504</t>
  </si>
  <si>
    <t>11S3174-202504</t>
  </si>
  <si>
    <t>11S5223-202504</t>
  </si>
  <si>
    <t>11S5224-202504</t>
  </si>
  <si>
    <t>11S5226-202504</t>
  </si>
  <si>
    <t>110604X-190101</t>
  </si>
  <si>
    <t>0604X</t>
  </si>
  <si>
    <t>SP.ｲK-CKS-1MT</t>
  </si>
  <si>
    <t>11Z1350-190101</t>
  </si>
  <si>
    <t>Z1350</t>
  </si>
  <si>
    <t>SP.K-2A</t>
  </si>
  <si>
    <t>11Z1351-190101</t>
  </si>
  <si>
    <t>Z1351</t>
  </si>
  <si>
    <t>SP.U-2C</t>
  </si>
  <si>
    <t>11Z1354-190101</t>
  </si>
  <si>
    <t>Z1354</t>
  </si>
  <si>
    <t>SP.5K-CKK-2A1</t>
  </si>
  <si>
    <t>11S5815-202509</t>
  </si>
  <si>
    <t>202509</t>
  </si>
  <si>
    <t>11S7214-202509</t>
  </si>
  <si>
    <t>S7214</t>
  </si>
  <si>
    <t>A-R-CKK-GY62</t>
  </si>
  <si>
    <t>11S7215-202509</t>
  </si>
  <si>
    <t>S7215</t>
  </si>
  <si>
    <t>A-J-CKK-GY72</t>
  </si>
  <si>
    <t>11Z1416-190101</t>
  </si>
  <si>
    <t>Z1416</t>
  </si>
  <si>
    <t>11Z1417-190101</t>
  </si>
  <si>
    <t>Z1417</t>
  </si>
  <si>
    <t>11Z1418-190101</t>
  </si>
  <si>
    <t>Z1418</t>
  </si>
  <si>
    <t>11EP277-202604</t>
  </si>
  <si>
    <t>202604</t>
  </si>
  <si>
    <t>11H5413-202604</t>
  </si>
  <si>
    <t>11K5208-202604</t>
  </si>
  <si>
    <t>11S5817-202603</t>
  </si>
  <si>
    <t>202603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</si>
</sst>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6" formatCode="#,##0_ ;[Red]\-#,##0\ "/>
    <numFmt numFmtId="177" formatCode="&quot;＜ &quot;General&quot; ＞&quot;"/>
    <numFmt numFmtId="178" formatCode="yyyy/m/d;@"/>
    <numFmt numFmtId="179" formatCode="#,##0.00_ "/>
    <numFmt numFmtId="180" formatCode="#,##0_ "/>
    <numFmt numFmtId="181" formatCode="#,##0.00_ ;[Red]\-#,##0.00\ "/>
  </numFmts>
  <fonts count="1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u/>
      <sz val="20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2"/>
      <color theme="0"/>
      <name val="ＭＳ Ｐゴシック"/>
      <family val="3"/>
      <charset val="128"/>
    </font>
    <font>
      <b/>
      <sz val="12"/>
      <color rgb="FFFFFF00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66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right" vertical="center"/>
    </xf>
    <xf numFmtId="0" fontId="3" fillId="0" borderId="0" xfId="0" quotePrefix="1" applyFont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 shrinkToFit="1"/>
    </xf>
    <xf numFmtId="176" fontId="3" fillId="0" borderId="3" xfId="0" applyNumberFormat="1" applyFont="1" applyBorder="1" applyAlignment="1">
      <alignment vertical="center" shrinkToFit="1"/>
    </xf>
    <xf numFmtId="0" fontId="3" fillId="4" borderId="3" xfId="0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 applyProtection="1">
      <alignment horizontal="center" vertical="center" shrinkToFit="1"/>
      <protection locked="0"/>
    </xf>
    <xf numFmtId="0" fontId="3" fillId="4" borderId="3" xfId="0" applyFont="1" applyFill="1" applyBorder="1" applyAlignment="1">
      <alignment horizontal="left" vertical="center" indent="1" shrinkToFit="1"/>
    </xf>
    <xf numFmtId="176" fontId="3" fillId="4" borderId="3" xfId="0" applyNumberFormat="1" applyFont="1" applyFill="1" applyBorder="1" applyAlignment="1" applyProtection="1">
      <alignment vertical="center" shrinkToFit="1"/>
      <protection locked="0"/>
    </xf>
    <xf numFmtId="176" fontId="3" fillId="4" borderId="3" xfId="0" applyNumberFormat="1" applyFont="1" applyFill="1" applyBorder="1" applyAlignment="1">
      <alignment vertical="center" shrinkToFit="1"/>
    </xf>
    <xf numFmtId="0" fontId="3" fillId="4" borderId="4" xfId="0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 applyProtection="1">
      <alignment horizontal="center" vertical="center" shrinkToFit="1"/>
      <protection locked="0"/>
    </xf>
    <xf numFmtId="0" fontId="3" fillId="4" borderId="4" xfId="0" applyFont="1" applyFill="1" applyBorder="1" applyAlignment="1">
      <alignment horizontal="left" vertical="center" indent="1" shrinkToFit="1"/>
    </xf>
    <xf numFmtId="176" fontId="3" fillId="4" borderId="4" xfId="0" applyNumberFormat="1" applyFont="1" applyFill="1" applyBorder="1" applyAlignment="1" applyProtection="1">
      <alignment vertical="center" shrinkToFit="1"/>
      <protection locked="0"/>
    </xf>
    <xf numFmtId="0" fontId="6" fillId="0" borderId="5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left" vertical="center"/>
    </xf>
    <xf numFmtId="0" fontId="6" fillId="2" borderId="2" xfId="0" quotePrefix="1" applyFont="1" applyFill="1" applyBorder="1" applyAlignment="1" applyProtection="1">
      <alignment horizontal="center" vertical="center" shrinkToFit="1"/>
      <protection locked="0"/>
    </xf>
    <xf numFmtId="0" fontId="6" fillId="0" borderId="0" xfId="0" quotePrefix="1" applyFont="1" applyAlignment="1">
      <alignment horizontal="center" vertical="center"/>
    </xf>
    <xf numFmtId="177" fontId="3" fillId="0" borderId="0" xfId="0" quotePrefix="1" applyNumberFormat="1" applyFont="1" applyAlignment="1">
      <alignment horizontal="center" vertical="center"/>
    </xf>
    <xf numFmtId="49" fontId="3" fillId="5" borderId="3" xfId="0" applyNumberFormat="1" applyFont="1" applyFill="1" applyBorder="1" applyAlignment="1" applyProtection="1">
      <alignment horizontal="center" vertical="center" shrinkToFit="1"/>
      <protection locked="0"/>
    </xf>
    <xf numFmtId="176" fontId="3" fillId="5" borderId="3" xfId="0" applyNumberFormat="1" applyFont="1" applyFill="1" applyBorder="1" applyAlignment="1" applyProtection="1">
      <alignment vertical="center" shrinkToFit="1"/>
      <protection locked="0"/>
    </xf>
    <xf numFmtId="0" fontId="7" fillId="3" borderId="12" xfId="0" quotePrefix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49" fontId="9" fillId="6" borderId="0" xfId="0" applyNumberFormat="1" applyFont="1" applyFill="1" applyAlignment="1">
      <alignment horizontal="center" vertical="center"/>
    </xf>
    <xf numFmtId="0" fontId="0" fillId="0" borderId="14" xfId="0" applyBorder="1"/>
    <xf numFmtId="0" fontId="9" fillId="6" borderId="0" xfId="0" applyFont="1" applyFill="1" applyAlignment="1">
      <alignment horizontal="center" vertical="center"/>
    </xf>
    <xf numFmtId="179" fontId="9" fillId="6" borderId="0" xfId="0" applyNumberFormat="1" applyFont="1" applyFill="1" applyAlignment="1">
      <alignment horizontal="center" vertical="center"/>
    </xf>
    <xf numFmtId="178" fontId="6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7" fillId="3" borderId="13" xfId="0" applyFont="1" applyFill="1" applyBorder="1" applyAlignment="1">
      <alignment horizontal="center" vertical="center"/>
    </xf>
    <xf numFmtId="6" fontId="0" fillId="0" borderId="12" xfId="0" applyNumberFormat="1" applyBorder="1"/>
    <xf numFmtId="0" fontId="0" fillId="0" borderId="10" xfId="0" applyBorder="1"/>
    <xf numFmtId="0" fontId="0" fillId="0" borderId="1" xfId="0" applyBorder="1"/>
    <xf numFmtId="0" fontId="0" fillId="0" borderId="12" xfId="0" applyBorder="1" applyAlignment="1">
      <alignment horizontal="center"/>
    </xf>
    <xf numFmtId="180" fontId="3" fillId="0" borderId="3" xfId="0" quotePrefix="1" applyNumberFormat="1" applyFont="1" applyBorder="1" applyAlignment="1">
      <alignment vertical="center" shrinkToFit="1"/>
    </xf>
    <xf numFmtId="180" fontId="0" fillId="0" borderId="15" xfId="0" applyNumberFormat="1" applyBorder="1"/>
    <xf numFmtId="180" fontId="0" fillId="0" borderId="11" xfId="0" applyNumberFormat="1" applyBorder="1"/>
    <xf numFmtId="179" fontId="0" fillId="0" borderId="0" xfId="0" applyNumberFormat="1"/>
    <xf numFmtId="179" fontId="0" fillId="0" borderId="1" xfId="0" applyNumberFormat="1" applyBorder="1"/>
    <xf numFmtId="6" fontId="6" fillId="0" borderId="6" xfId="0" quotePrefix="1" applyNumberFormat="1" applyFont="1" applyBorder="1" applyAlignment="1">
      <alignment vertical="center" shrinkToFit="1"/>
    </xf>
    <xf numFmtId="181" fontId="3" fillId="0" borderId="3" xfId="2" applyNumberFormat="1" applyFont="1" applyBorder="1" applyAlignment="1">
      <alignment vertical="center" shrinkToFit="1"/>
    </xf>
    <xf numFmtId="181" fontId="3" fillId="4" borderId="3" xfId="2" applyNumberFormat="1" applyFont="1" applyFill="1" applyBorder="1" applyAlignment="1">
      <alignment vertical="center" shrinkToFit="1"/>
    </xf>
    <xf numFmtId="180" fontId="0" fillId="0" borderId="0" xfId="0" applyNumberFormat="1"/>
    <xf numFmtId="180" fontId="0" fillId="0" borderId="1" xfId="0" applyNumberFormat="1" applyBorder="1"/>
    <xf numFmtId="49" fontId="3" fillId="5" borderId="3" xfId="0" quotePrefix="1" applyNumberFormat="1" applyFont="1" applyFill="1" applyBorder="1" applyAlignment="1" applyProtection="1">
      <alignment horizontal="center" vertical="center" shrinkToFit="1"/>
      <protection locked="0"/>
    </xf>
    <xf numFmtId="49" fontId="0" fillId="0" borderId="16" xfId="0" applyNumberFormat="1" applyBorder="1" applyAlignment="1">
      <alignment vertical="center" wrapText="1"/>
    </xf>
    <xf numFmtId="4" fontId="0" fillId="0" borderId="16" xfId="0" applyNumberFormat="1" applyBorder="1" applyAlignment="1">
      <alignment vertical="center" wrapText="1"/>
    </xf>
    <xf numFmtId="0" fontId="4" fillId="0" borderId="0" xfId="0" quotePrefix="1" applyFont="1" applyAlignment="1">
      <alignment horizontal="right" vertical="top" indent="1"/>
    </xf>
    <xf numFmtId="0" fontId="5" fillId="0" borderId="0" xfId="0" applyFont="1" applyAlignment="1">
      <alignment horizontal="right" vertical="top" indent="1"/>
    </xf>
    <xf numFmtId="0" fontId="3" fillId="2" borderId="7" xfId="0" applyFont="1" applyFill="1" applyBorder="1" applyAlignment="1" applyProtection="1">
      <alignment horizontal="left" vertical="center" wrapText="1"/>
      <protection locked="0"/>
    </xf>
    <xf numFmtId="0" fontId="3" fillId="2" borderId="8" xfId="0" applyFont="1" applyFill="1" applyBorder="1" applyAlignment="1" applyProtection="1">
      <alignment horizontal="left" vertical="center" wrapText="1"/>
      <protection locked="0"/>
    </xf>
    <xf numFmtId="0" fontId="3" fillId="2" borderId="9" xfId="0" applyFont="1" applyFill="1" applyBorder="1" applyAlignment="1" applyProtection="1">
      <alignment horizontal="left" vertical="center" wrapText="1"/>
      <protection locked="0"/>
    </xf>
    <xf numFmtId="0" fontId="3" fillId="2" borderId="10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11" xfId="0" applyFont="1" applyFill="1" applyBorder="1" applyAlignment="1" applyProtection="1">
      <alignment horizontal="left" vertical="center" wrapText="1"/>
      <protection locked="0"/>
    </xf>
  </cellXfs>
  <cellStyles count="3">
    <cellStyle name="桁区切り" xfId="2" builtinId="6"/>
    <cellStyle name="標準" xfId="0" builtinId="0"/>
    <cellStyle name="標準 2" xfId="1" xr:uid="{00000000-0005-0000-0000-000002000000}"/>
  </cellStyles>
  <dxfs count="3">
    <dxf>
      <font>
        <b/>
        <i val="0"/>
        <color theme="9" tint="0.79995117038483843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color theme="9" tint="0.79998168889431442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1228725</xdr:colOff>
      <xdr:row>10</xdr:row>
      <xdr:rowOff>123825</xdr:rowOff>
    </xdr:from>
    <xdr:to>
      <xdr:col>6</xdr:col>
      <xdr:colOff>1133475</xdr:colOff>
      <xdr:row>12</xdr:row>
      <xdr:rowOff>200025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590800" y="2409825"/>
          <a:ext cx="4238625" cy="533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*</a:t>
          </a:r>
          <a:r>
            <a:rPr kumimoji="1" lang="en-US" altLang="ja-JP" sz="1100">
              <a:solidFill>
                <a:schemeClr val="bg1">
                  <a:lumMod val="50000"/>
                </a:schemeClr>
              </a:solidFill>
            </a:rPr>
            <a:t>Enter</a:t>
          </a:r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ｷｰではｾﾙが下に移動します。</a:t>
          </a:r>
          <a:endParaRPr kumimoji="1" lang="en-US" altLang="ja-JP" sz="1100">
            <a:solidFill>
              <a:schemeClr val="bg1">
                <a:lumMod val="50000"/>
              </a:schemeClr>
            </a:solidFill>
          </a:endParaRPr>
        </a:p>
        <a:p>
          <a:r>
            <a:rPr kumimoji="1" lang="ja-JP" altLang="en-US" sz="1100" baseline="0">
              <a:solidFill>
                <a:schemeClr val="bg1">
                  <a:lumMod val="50000"/>
                </a:schemeClr>
              </a:solidFill>
            </a:rPr>
            <a:t>  </a:t>
          </a:r>
          <a:r>
            <a:rPr kumimoji="1" lang="en-US" altLang="ja-JP" sz="1100">
              <a:solidFill>
                <a:schemeClr val="bg1">
                  <a:lumMod val="50000"/>
                </a:schemeClr>
              </a:solidFill>
            </a:rPr>
            <a:t>TAB</a:t>
          </a:r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ｷｰではｾﾙが横に進みます。矢印ｷｰでも簡単に動かせます。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9"/>
  <sheetViews>
    <sheetView showGridLines="0" showRowColHeaders="0" tabSelected="1" view="pageBreakPreview" zoomScaleNormal="100" zoomScaleSheetLayoutView="100" workbookViewId="0">
      <selection activeCell="C16" sqref="C16"/>
    </sheetView>
  </sheetViews>
  <sheetFormatPr defaultRowHeight="14.25" x14ac:dyDescent="0.15"/>
  <cols>
    <col min="1" max="1" width="2.625" style="1" customWidth="1"/>
    <col min="2" max="2" width="4.625" style="1" customWidth="1"/>
    <col min="3" max="3" width="10.625" style="1" customWidth="1"/>
    <col min="4" max="4" width="30.625" style="1" customWidth="1"/>
    <col min="5" max="5" width="10.625" style="1" customWidth="1"/>
    <col min="6" max="7" width="15.625" style="1" customWidth="1"/>
    <col min="8" max="8" width="2.625" style="1" customWidth="1"/>
    <col min="9" max="16384" width="9" style="1"/>
  </cols>
  <sheetData>
    <row r="1" spans="1:7" ht="18" customHeight="1" x14ac:dyDescent="0.15">
      <c r="D1" s="51" t="s">
        <v>0</v>
      </c>
      <c r="E1" s="52"/>
    </row>
    <row r="2" spans="1:7" ht="18" customHeight="1" x14ac:dyDescent="0.15">
      <c r="D2" s="52"/>
      <c r="E2" s="52"/>
    </row>
    <row r="3" spans="1:7" ht="18" customHeight="1" x14ac:dyDescent="0.15">
      <c r="B3" s="1" t="s">
        <v>1</v>
      </c>
      <c r="G3" s="2"/>
    </row>
    <row r="4" spans="1:7" ht="18" customHeight="1" x14ac:dyDescent="0.15">
      <c r="G4" s="5" t="s">
        <v>26</v>
      </c>
    </row>
    <row r="5" spans="1:7" ht="18" customHeight="1" x14ac:dyDescent="0.15">
      <c r="A5" s="3"/>
      <c r="B5" s="3"/>
      <c r="C5" s="4" t="s">
        <v>2</v>
      </c>
      <c r="D5" s="32">
        <v>46113</v>
      </c>
      <c r="E5"/>
      <c r="F5" s="4"/>
      <c r="G5" s="22">
        <v>1215</v>
      </c>
    </row>
    <row r="6" spans="1:7" ht="18" customHeight="1" x14ac:dyDescent="0.15">
      <c r="C6" s="4" t="s">
        <v>3</v>
      </c>
      <c r="D6" s="20" t="s">
        <v>21</v>
      </c>
      <c r="E6"/>
      <c r="F6" s="5"/>
      <c r="G6" s="21"/>
    </row>
    <row r="7" spans="1:7" ht="18" customHeight="1" x14ac:dyDescent="0.15"/>
    <row r="8" spans="1:7" ht="18" customHeight="1" x14ac:dyDescent="0.15">
      <c r="C8" s="19" t="s">
        <v>11</v>
      </c>
    </row>
    <row r="9" spans="1:7" ht="18" customHeight="1" x14ac:dyDescent="0.15">
      <c r="B9"/>
      <c r="C9" s="53"/>
      <c r="D9" s="54"/>
      <c r="E9" s="54"/>
      <c r="F9" s="54"/>
      <c r="G9" s="55"/>
    </row>
    <row r="10" spans="1:7" ht="18" customHeight="1" x14ac:dyDescent="0.15">
      <c r="B10"/>
      <c r="C10" s="56"/>
      <c r="D10" s="57"/>
      <c r="E10" s="57"/>
      <c r="F10" s="57"/>
      <c r="G10" s="58"/>
    </row>
    <row r="11" spans="1:7" ht="18" customHeight="1" x14ac:dyDescent="0.15"/>
    <row r="12" spans="1:7" ht="18" customHeight="1" x14ac:dyDescent="0.15">
      <c r="B12" s="1" t="s">
        <v>4</v>
      </c>
    </row>
    <row r="13" spans="1:7" ht="18" customHeight="1" x14ac:dyDescent="0.15"/>
    <row r="14" spans="1:7" ht="18" customHeight="1" x14ac:dyDescent="0.15">
      <c r="B14" s="25" t="s">
        <v>12</v>
      </c>
      <c r="C14" s="26" t="s">
        <v>5</v>
      </c>
      <c r="D14" s="27" t="s">
        <v>6</v>
      </c>
      <c r="E14" s="26" t="s">
        <v>7</v>
      </c>
      <c r="F14" s="27" t="s">
        <v>8</v>
      </c>
      <c r="G14" s="27" t="s">
        <v>9</v>
      </c>
    </row>
    <row r="15" spans="1:7" ht="18" customHeight="1" x14ac:dyDescent="0.15">
      <c r="B15" s="6" t="str">
        <f>IF(C15="","",ROW(B15)-ROW($B$15)+1)</f>
        <v/>
      </c>
      <c r="C15" s="23"/>
      <c r="D15" s="7" t="str">
        <f>IF(OR($D$6="",C15=""),"",IF(COUNTIF(データ!$A:$A,LEFT($D$6,SEARCH("：",$D$6)-1)&amp;C15&amp;"*")=0,"未登録部材",VLOOKUP(LEFT($D$6,SEARCH("：",$D$6)-1)&amp;C15&amp;TEXT($D$5,"-YYYYMM"),データ!$A:$D,3,1)))</f>
        <v/>
      </c>
      <c r="E15" s="24">
        <v>1</v>
      </c>
      <c r="F15" s="44" t="str">
        <f>IF(OR($D$6="",C15=""),"",IF(COUNTIF(データ!$A:$A,LEFT($D$6,SEARCH("：",$D$6)-1)&amp;C15&amp;"*")=0,"未登録",VLOOKUP(LEFT($D$6,SEARCH("：",$D$6)-1)&amp;C15&amp;TEXT($D$5,"-YYYYMM"),データ!$A:$D,4,1)))</f>
        <v/>
      </c>
      <c r="G15" s="38" t="str">
        <f>IF(C15="","",ROUNDDOWN(E15*F15,0))</f>
        <v/>
      </c>
    </row>
    <row r="16" spans="1:7" ht="18" customHeight="1" x14ac:dyDescent="0.15">
      <c r="B16" s="9" t="str">
        <f t="shared" ref="B16:B34" si="0">IF(C16="","",ROW(B16)-ROW($B$15)+1)</f>
        <v/>
      </c>
      <c r="C16" s="48"/>
      <c r="D16" s="11" t="str">
        <f>IF(OR($D$6="",C16=""),"",IF(COUNTIF(データ!$A:$A,LEFT($D$6,SEARCH("：",$D$6)-1)&amp;C16&amp;"*")=0,"未登録部材",VLOOKUP(LEFT($D$6,SEARCH("：",$D$6)-1)&amp;C16&amp;TEXT($D$5,"-YYYYMM"),データ!$A:$D,3,1)))</f>
        <v/>
      </c>
      <c r="E16" s="12"/>
      <c r="F16" s="45" t="str">
        <f>IF(OR($D$6="",C16=""),"",IF(COUNTIF(データ!$A:$A,LEFT($D$6,SEARCH("：",$D$6)-1)&amp;C16&amp;"*")=0,"未登録",VLOOKUP(LEFT($D$6,SEARCH("：",$D$6)-1)&amp;C16&amp;TEXT($D$5,"-YYYYMM"),データ!$A:$D,4,1)))</f>
        <v/>
      </c>
      <c r="G16" s="13" t="str">
        <f t="shared" ref="G16:G34" si="1">IF(C16="","",ROUNDDOWN(E16*F16,0))</f>
        <v/>
      </c>
    </row>
    <row r="17" spans="2:7" ht="18" customHeight="1" x14ac:dyDescent="0.15">
      <c r="B17" s="6" t="str">
        <f t="shared" si="0"/>
        <v/>
      </c>
      <c r="C17" s="23"/>
      <c r="D17" s="7" t="str">
        <f>IF(OR($D$6="",C17=""),"",IF(COUNTIF(データ!$A:$A,LEFT($D$6,SEARCH("：",$D$6)-1)&amp;C17&amp;"*")=0,"未登録部材",VLOOKUP(LEFT($D$6,SEARCH("：",$D$6)-1)&amp;C17&amp;TEXT($D$5,"-YYYYMM"),データ!$A:$D,3,1)))</f>
        <v/>
      </c>
      <c r="E17" s="24"/>
      <c r="F17" s="44" t="str">
        <f>IF(OR($D$6="",C17=""),"",IF(COUNTIF(データ!$A:$A,LEFT($D$6,SEARCH("：",$D$6)-1)&amp;C17&amp;"*")=0,"未登録",VLOOKUP(LEFT($D$6,SEARCH("：",$D$6)-1)&amp;C17&amp;TEXT($D$5,"-YYYYMM"),データ!$A:$D,4,1)))</f>
        <v/>
      </c>
      <c r="G17" s="8" t="str">
        <f t="shared" si="1"/>
        <v/>
      </c>
    </row>
    <row r="18" spans="2:7" ht="18" customHeight="1" x14ac:dyDescent="0.15">
      <c r="B18" s="9" t="str">
        <f t="shared" si="0"/>
        <v/>
      </c>
      <c r="C18" s="10"/>
      <c r="D18" s="11" t="str">
        <f>IF(OR($D$6="",C18=""),"",IF(COUNTIF(データ!$A:$A,LEFT($D$6,SEARCH("：",$D$6)-1)&amp;C18&amp;"*")=0,"未登録部材",VLOOKUP(LEFT($D$6,SEARCH("：",$D$6)-1)&amp;C18&amp;TEXT($D$5,"-YYYYMM"),データ!$A:$D,3,1)))</f>
        <v/>
      </c>
      <c r="E18" s="12"/>
      <c r="F18" s="45" t="str">
        <f>IF(OR($D$6="",C18=""),"",IF(COUNTIF(データ!$A:$A,LEFT($D$6,SEARCH("：",$D$6)-1)&amp;C18&amp;"*")=0,"未登録",VLOOKUP(LEFT($D$6,SEARCH("：",$D$6)-1)&amp;C18&amp;TEXT($D$5,"-YYYYMM"),データ!$A:$D,4,1)))</f>
        <v/>
      </c>
      <c r="G18" s="13" t="str">
        <f t="shared" si="1"/>
        <v/>
      </c>
    </row>
    <row r="19" spans="2:7" ht="18" customHeight="1" x14ac:dyDescent="0.15">
      <c r="B19" s="6" t="str">
        <f t="shared" si="0"/>
        <v/>
      </c>
      <c r="C19" s="23"/>
      <c r="D19" s="7" t="str">
        <f>IF(OR($D$6="",C19=""),"",IF(COUNTIF(データ!$A:$A,LEFT($D$6,SEARCH("：",$D$6)-1)&amp;C19&amp;"*")=0,"未登録部材",VLOOKUP(LEFT($D$6,SEARCH("：",$D$6)-1)&amp;C19&amp;TEXT($D$5,"-YYYYMM"),データ!$A:$D,3,1)))</f>
        <v/>
      </c>
      <c r="E19" s="24"/>
      <c r="F19" s="44" t="str">
        <f>IF(OR($D$6="",C19=""),"",IF(COUNTIF(データ!$A:$A,LEFT($D$6,SEARCH("：",$D$6)-1)&amp;C19&amp;"*")=0,"未登録",VLOOKUP(LEFT($D$6,SEARCH("：",$D$6)-1)&amp;C19&amp;TEXT($D$5,"-YYYYMM"),データ!$A:$D,4,1)))</f>
        <v/>
      </c>
      <c r="G19" s="8" t="str">
        <f t="shared" si="1"/>
        <v/>
      </c>
    </row>
    <row r="20" spans="2:7" ht="18" customHeight="1" x14ac:dyDescent="0.15">
      <c r="B20" s="9" t="str">
        <f t="shared" si="0"/>
        <v/>
      </c>
      <c r="C20" s="10"/>
      <c r="D20" s="11" t="str">
        <f>IF(OR($D$6="",C20=""),"",IF(COUNTIF(データ!$A:$A,LEFT($D$6,SEARCH("：",$D$6)-1)&amp;C20&amp;"*")=0,"未登録部材",VLOOKUP(LEFT($D$6,SEARCH("：",$D$6)-1)&amp;C20&amp;TEXT($D$5,"-YYYYMM"),データ!$A:$D,3,1)))</f>
        <v/>
      </c>
      <c r="E20" s="12"/>
      <c r="F20" s="45" t="str">
        <f>IF(OR($D$6="",C20=""),"",IF(COUNTIF(データ!$A:$A,LEFT($D$6,SEARCH("：",$D$6)-1)&amp;C20&amp;"*")=0,"未登録",VLOOKUP(LEFT($D$6,SEARCH("：",$D$6)-1)&amp;C20&amp;TEXT($D$5,"-YYYYMM"),データ!$A:$D,4,1)))</f>
        <v/>
      </c>
      <c r="G20" s="13" t="str">
        <f t="shared" si="1"/>
        <v/>
      </c>
    </row>
    <row r="21" spans="2:7" ht="18" customHeight="1" x14ac:dyDescent="0.15">
      <c r="B21" s="6" t="str">
        <f t="shared" si="0"/>
        <v/>
      </c>
      <c r="C21" s="23"/>
      <c r="D21" s="7" t="str">
        <f>IF(OR($D$6="",C21=""),"",IF(COUNTIF(データ!$A:$A,LEFT($D$6,SEARCH("：",$D$6)-1)&amp;C21&amp;"*")=0,"未登録部材",VLOOKUP(LEFT($D$6,SEARCH("：",$D$6)-1)&amp;C21&amp;TEXT($D$5,"-YYYYMM"),データ!$A:$D,3,1)))</f>
        <v/>
      </c>
      <c r="E21" s="24"/>
      <c r="F21" s="44" t="str">
        <f>IF(OR($D$6="",C21=""),"",IF(COUNTIF(データ!$A:$A,LEFT($D$6,SEARCH("：",$D$6)-1)&amp;C21&amp;"*")=0,"未登録",VLOOKUP(LEFT($D$6,SEARCH("：",$D$6)-1)&amp;C21&amp;TEXT($D$5,"-YYYYMM"),データ!$A:$D,4,1)))</f>
        <v/>
      </c>
      <c r="G21" s="8" t="str">
        <f t="shared" si="1"/>
        <v/>
      </c>
    </row>
    <row r="22" spans="2:7" ht="18" customHeight="1" x14ac:dyDescent="0.15">
      <c r="B22" s="9" t="str">
        <f t="shared" si="0"/>
        <v/>
      </c>
      <c r="C22" s="10"/>
      <c r="D22" s="11" t="str">
        <f>IF(OR($D$6="",C22=""),"",IF(COUNTIF(データ!$A:$A,LEFT($D$6,SEARCH("：",$D$6)-1)&amp;C22&amp;"*")=0,"未登録部材",VLOOKUP(LEFT($D$6,SEARCH("：",$D$6)-1)&amp;C22&amp;TEXT($D$5,"-YYYYMM"),データ!$A:$D,3,1)))</f>
        <v/>
      </c>
      <c r="E22" s="12"/>
      <c r="F22" s="45" t="str">
        <f>IF(OR($D$6="",C22=""),"",IF(COUNTIF(データ!$A:$A,LEFT($D$6,SEARCH("：",$D$6)-1)&amp;C22&amp;"*")=0,"未登録",VLOOKUP(LEFT($D$6,SEARCH("：",$D$6)-1)&amp;C22&amp;TEXT($D$5,"-YYYYMM"),データ!$A:$D,4,1)))</f>
        <v/>
      </c>
      <c r="G22" s="13" t="str">
        <f t="shared" si="1"/>
        <v/>
      </c>
    </row>
    <row r="23" spans="2:7" ht="18" customHeight="1" x14ac:dyDescent="0.15">
      <c r="B23" s="6" t="str">
        <f t="shared" si="0"/>
        <v/>
      </c>
      <c r="C23" s="23"/>
      <c r="D23" s="7" t="str">
        <f>IF(OR($D$6="",C23=""),"",IF(COUNTIF(データ!$A:$A,LEFT($D$6,SEARCH("：",$D$6)-1)&amp;C23&amp;"*")=0,"未登録部材",VLOOKUP(LEFT($D$6,SEARCH("：",$D$6)-1)&amp;C23&amp;TEXT($D$5,"-YYYYMM"),データ!$A:$D,3,1)))</f>
        <v/>
      </c>
      <c r="E23" s="24"/>
      <c r="F23" s="44" t="str">
        <f>IF(OR($D$6="",C23=""),"",IF(COUNTIF(データ!$A:$A,LEFT($D$6,SEARCH("：",$D$6)-1)&amp;C23&amp;"*")=0,"未登録",VLOOKUP(LEFT($D$6,SEARCH("：",$D$6)-1)&amp;C23&amp;TEXT($D$5,"-YYYYMM"),データ!$A:$D,4,1)))</f>
        <v/>
      </c>
      <c r="G23" s="8" t="str">
        <f t="shared" si="1"/>
        <v/>
      </c>
    </row>
    <row r="24" spans="2:7" ht="18" customHeight="1" x14ac:dyDescent="0.15">
      <c r="B24" s="9" t="str">
        <f t="shared" si="0"/>
        <v/>
      </c>
      <c r="C24" s="10"/>
      <c r="D24" s="11" t="str">
        <f>IF(OR($D$6="",C24=""),"",IF(COUNTIF(データ!$A:$A,LEFT($D$6,SEARCH("：",$D$6)-1)&amp;C24&amp;"*")=0,"未登録部材",VLOOKUP(LEFT($D$6,SEARCH("：",$D$6)-1)&amp;C24&amp;TEXT($D$5,"-YYYYMM"),データ!$A:$D,3,1)))</f>
        <v/>
      </c>
      <c r="E24" s="12"/>
      <c r="F24" s="45" t="str">
        <f>IF(OR($D$6="",C24=""),"",IF(COUNTIF(データ!$A:$A,LEFT($D$6,SEARCH("：",$D$6)-1)&amp;C24&amp;"*")=0,"未登録",VLOOKUP(LEFT($D$6,SEARCH("：",$D$6)-1)&amp;C24&amp;TEXT($D$5,"-YYYYMM"),データ!$A:$D,4,1)))</f>
        <v/>
      </c>
      <c r="G24" s="13" t="str">
        <f t="shared" si="1"/>
        <v/>
      </c>
    </row>
    <row r="25" spans="2:7" ht="18" customHeight="1" x14ac:dyDescent="0.15">
      <c r="B25" s="6" t="str">
        <f t="shared" si="0"/>
        <v/>
      </c>
      <c r="C25" s="23"/>
      <c r="D25" s="7" t="str">
        <f>IF(OR($D$6="",C25=""),"",IF(COUNTIF(データ!$A:$A,LEFT($D$6,SEARCH("：",$D$6)-1)&amp;C25&amp;"*")=0,"未登録部材",VLOOKUP(LEFT($D$6,SEARCH("：",$D$6)-1)&amp;C25&amp;TEXT($D$5,"-YYYYMM"),データ!$A:$D,3,1)))</f>
        <v/>
      </c>
      <c r="E25" s="24"/>
      <c r="F25" s="44" t="str">
        <f>IF(OR($D$6="",C25=""),"",IF(COUNTIF(データ!$A:$A,LEFT($D$6,SEARCH("：",$D$6)-1)&amp;C25&amp;"*")=0,"未登録",VLOOKUP(LEFT($D$6,SEARCH("：",$D$6)-1)&amp;C25&amp;TEXT($D$5,"-YYYYMM"),データ!$A:$D,4,1)))</f>
        <v/>
      </c>
      <c r="G25" s="8" t="str">
        <f t="shared" si="1"/>
        <v/>
      </c>
    </row>
    <row r="26" spans="2:7" ht="18" customHeight="1" x14ac:dyDescent="0.15">
      <c r="B26" s="9" t="str">
        <f t="shared" si="0"/>
        <v/>
      </c>
      <c r="C26" s="10"/>
      <c r="D26" s="11" t="str">
        <f>IF(OR($D$6="",C26=""),"",IF(COUNTIF(データ!$A:$A,LEFT($D$6,SEARCH("：",$D$6)-1)&amp;C26&amp;"*")=0,"未登録部材",VLOOKUP(LEFT($D$6,SEARCH("：",$D$6)-1)&amp;C26&amp;TEXT($D$5,"-YYYYMM"),データ!$A:$D,3,1)))</f>
        <v/>
      </c>
      <c r="E26" s="12"/>
      <c r="F26" s="45" t="str">
        <f>IF(OR($D$6="",C26=""),"",IF(COUNTIF(データ!$A:$A,LEFT($D$6,SEARCH("：",$D$6)-1)&amp;C26&amp;"*")=0,"未登録",VLOOKUP(LEFT($D$6,SEARCH("：",$D$6)-1)&amp;C26&amp;TEXT($D$5,"-YYYYMM"),データ!$A:$D,4,1)))</f>
        <v/>
      </c>
      <c r="G26" s="13" t="str">
        <f t="shared" si="1"/>
        <v/>
      </c>
    </row>
    <row r="27" spans="2:7" ht="18" customHeight="1" x14ac:dyDescent="0.15">
      <c r="B27" s="6" t="str">
        <f t="shared" si="0"/>
        <v/>
      </c>
      <c r="C27" s="23"/>
      <c r="D27" s="7" t="str">
        <f>IF(OR($D$6="",C27=""),"",IF(COUNTIF(データ!$A:$A,LEFT($D$6,SEARCH("：",$D$6)-1)&amp;C27&amp;"*")=0,"未登録部材",VLOOKUP(LEFT($D$6,SEARCH("：",$D$6)-1)&amp;C27&amp;TEXT($D$5,"-YYYYMM"),データ!$A:$D,3,1)))</f>
        <v/>
      </c>
      <c r="E27" s="24"/>
      <c r="F27" s="44" t="str">
        <f>IF(OR($D$6="",C27=""),"",IF(COUNTIF(データ!$A:$A,LEFT($D$6,SEARCH("：",$D$6)-1)&amp;C27&amp;"*")=0,"未登録",VLOOKUP(LEFT($D$6,SEARCH("：",$D$6)-1)&amp;C27&amp;TEXT($D$5,"-YYYYMM"),データ!$A:$D,4,1)))</f>
        <v/>
      </c>
      <c r="G27" s="8" t="str">
        <f t="shared" si="1"/>
        <v/>
      </c>
    </row>
    <row r="28" spans="2:7" ht="18" customHeight="1" x14ac:dyDescent="0.15">
      <c r="B28" s="9" t="str">
        <f t="shared" si="0"/>
        <v/>
      </c>
      <c r="C28" s="10"/>
      <c r="D28" s="11" t="str">
        <f>IF(OR($D$6="",C28=""),"",IF(COUNTIF(データ!$A:$A,LEFT($D$6,SEARCH("：",$D$6)-1)&amp;C28&amp;"*")=0,"未登録部材",VLOOKUP(LEFT($D$6,SEARCH("：",$D$6)-1)&amp;C28&amp;TEXT($D$5,"-YYYYMM"),データ!$A:$D,3,1)))</f>
        <v/>
      </c>
      <c r="E28" s="12"/>
      <c r="F28" s="45" t="str">
        <f>IF(OR($D$6="",C28=""),"",IF(COUNTIF(データ!$A:$A,LEFT($D$6,SEARCH("：",$D$6)-1)&amp;C28&amp;"*")=0,"未登録",VLOOKUP(LEFT($D$6,SEARCH("：",$D$6)-1)&amp;C28&amp;TEXT($D$5,"-YYYYMM"),データ!$A:$D,4,1)))</f>
        <v/>
      </c>
      <c r="G28" s="13" t="str">
        <f t="shared" si="1"/>
        <v/>
      </c>
    </row>
    <row r="29" spans="2:7" ht="18" customHeight="1" x14ac:dyDescent="0.15">
      <c r="B29" s="6" t="str">
        <f t="shared" si="0"/>
        <v/>
      </c>
      <c r="C29" s="23"/>
      <c r="D29" s="7" t="str">
        <f>IF(OR($D$6="",C29=""),"",IF(COUNTIF(データ!$A:$A,LEFT($D$6,SEARCH("：",$D$6)-1)&amp;C29&amp;"*")=0,"未登録部材",VLOOKUP(LEFT($D$6,SEARCH("：",$D$6)-1)&amp;C29&amp;TEXT($D$5,"-YYYYMM"),データ!$A:$D,3,1)))</f>
        <v/>
      </c>
      <c r="E29" s="24"/>
      <c r="F29" s="44" t="str">
        <f>IF(OR($D$6="",C29=""),"",IF(COUNTIF(データ!$A:$A,LEFT($D$6,SEARCH("：",$D$6)-1)&amp;C29&amp;"*")=0,"未登録",VLOOKUP(LEFT($D$6,SEARCH("：",$D$6)-1)&amp;C29&amp;TEXT($D$5,"-YYYYMM"),データ!$A:$D,4,1)))</f>
        <v/>
      </c>
      <c r="G29" s="8" t="str">
        <f t="shared" si="1"/>
        <v/>
      </c>
    </row>
    <row r="30" spans="2:7" ht="18" customHeight="1" x14ac:dyDescent="0.15">
      <c r="B30" s="9" t="str">
        <f t="shared" si="0"/>
        <v/>
      </c>
      <c r="C30" s="10"/>
      <c r="D30" s="11" t="str">
        <f>IF(OR($D$6="",C30=""),"",IF(COUNTIF(データ!$A:$A,LEFT($D$6,SEARCH("：",$D$6)-1)&amp;C30&amp;"*")=0,"未登録部材",VLOOKUP(LEFT($D$6,SEARCH("：",$D$6)-1)&amp;C30&amp;TEXT($D$5,"-YYYYMM"),データ!$A:$D,3,1)))</f>
        <v/>
      </c>
      <c r="E30" s="12"/>
      <c r="F30" s="45" t="str">
        <f>IF(OR($D$6="",C30=""),"",IF(COUNTIF(データ!$A:$A,LEFT($D$6,SEARCH("：",$D$6)-1)&amp;C30&amp;"*")=0,"未登録",VLOOKUP(LEFT($D$6,SEARCH("：",$D$6)-1)&amp;C30&amp;TEXT($D$5,"-YYYYMM"),データ!$A:$D,4,1)))</f>
        <v/>
      </c>
      <c r="G30" s="13" t="str">
        <f t="shared" si="1"/>
        <v/>
      </c>
    </row>
    <row r="31" spans="2:7" ht="18" customHeight="1" x14ac:dyDescent="0.15">
      <c r="B31" s="6" t="str">
        <f t="shared" si="0"/>
        <v/>
      </c>
      <c r="C31" s="23"/>
      <c r="D31" s="7" t="str">
        <f>IF(OR($D$6="",C31=""),"",IF(COUNTIF(データ!$A:$A,LEFT($D$6,SEARCH("：",$D$6)-1)&amp;C31&amp;"*")=0,"未登録部材",VLOOKUP(LEFT($D$6,SEARCH("：",$D$6)-1)&amp;C31&amp;TEXT($D$5,"-YYYYMM"),データ!$A:$D,3,1)))</f>
        <v/>
      </c>
      <c r="E31" s="24"/>
      <c r="F31" s="44" t="str">
        <f>IF(OR($D$6="",C31=""),"",IF(COUNTIF(データ!$A:$A,LEFT($D$6,SEARCH("：",$D$6)-1)&amp;C31&amp;"*")=0,"未登録",VLOOKUP(LEFT($D$6,SEARCH("：",$D$6)-1)&amp;C31&amp;TEXT($D$5,"-YYYYMM"),データ!$A:$D,4,1)))</f>
        <v/>
      </c>
      <c r="G31" s="8" t="str">
        <f t="shared" si="1"/>
        <v/>
      </c>
    </row>
    <row r="32" spans="2:7" ht="18" customHeight="1" x14ac:dyDescent="0.15">
      <c r="B32" s="9" t="str">
        <f t="shared" si="0"/>
        <v/>
      </c>
      <c r="C32" s="10"/>
      <c r="D32" s="11" t="str">
        <f>IF(OR($D$6="",C32=""),"",IF(COUNTIF(データ!$A:$A,LEFT($D$6,SEARCH("：",$D$6)-1)&amp;C32&amp;"*")=0,"未登録部材",VLOOKUP(LEFT($D$6,SEARCH("：",$D$6)-1)&amp;C32&amp;TEXT($D$5,"-YYYYMM"),データ!$A:$D,3,1)))</f>
        <v/>
      </c>
      <c r="E32" s="12"/>
      <c r="F32" s="45" t="str">
        <f>IF(OR($D$6="",C32=""),"",IF(COUNTIF(データ!$A:$A,LEFT($D$6,SEARCH("：",$D$6)-1)&amp;C32&amp;"*")=0,"未登録",VLOOKUP(LEFT($D$6,SEARCH("：",$D$6)-1)&amp;C32&amp;TEXT($D$5,"-YYYYMM"),データ!$A:$D,4,1)))</f>
        <v/>
      </c>
      <c r="G32" s="13" t="str">
        <f t="shared" si="1"/>
        <v/>
      </c>
    </row>
    <row r="33" spans="2:8" ht="18" customHeight="1" x14ac:dyDescent="0.15">
      <c r="B33" s="6" t="str">
        <f t="shared" si="0"/>
        <v/>
      </c>
      <c r="C33" s="23"/>
      <c r="D33" s="7" t="str">
        <f>IF(OR($D$6="",C33=""),"",IF(COUNTIF(データ!$A:$A,LEFT($D$6,SEARCH("：",$D$6)-1)&amp;C33&amp;"*")=0,"未登録部材",VLOOKUP(LEFT($D$6,SEARCH("：",$D$6)-1)&amp;C33&amp;TEXT($D$5,"-YYYYMM"),データ!$A:$D,3,1)))</f>
        <v/>
      </c>
      <c r="E33" s="24"/>
      <c r="F33" s="44" t="str">
        <f>IF(OR($D$6="",C33=""),"",IF(COUNTIF(データ!$A:$A,LEFT($D$6,SEARCH("：",$D$6)-1)&amp;C33&amp;"*")=0,"未登録",VLOOKUP(LEFT($D$6,SEARCH("：",$D$6)-1)&amp;C33&amp;TEXT($D$5,"-YYYYMM"),データ!$A:$D,4,1)))</f>
        <v/>
      </c>
      <c r="G33" s="8" t="str">
        <f t="shared" si="1"/>
        <v/>
      </c>
    </row>
    <row r="34" spans="2:8" ht="18" customHeight="1" thickBot="1" x14ac:dyDescent="0.2">
      <c r="B34" s="14" t="str">
        <f t="shared" si="0"/>
        <v/>
      </c>
      <c r="C34" s="15"/>
      <c r="D34" s="16" t="str">
        <f>IF(OR($D$6="",C34=""),"",IF(COUNTIF(データ!$A:$A,LEFT($D$6,SEARCH("：",$D$6)-1)&amp;C34&amp;"*")=0,"未登録部材",VLOOKUP(LEFT($D$6,SEARCH("：",$D$6)-1)&amp;C34&amp;TEXT($D$5,"-YYYYMM"),データ!$A:$D,3,1)))</f>
        <v/>
      </c>
      <c r="E34" s="17"/>
      <c r="F34" s="45" t="str">
        <f>IF(OR($D$6="",C34=""),"",IF(COUNTIF(データ!$A:$A,LEFT($D$6,SEARCH("：",$D$6)-1)&amp;C34&amp;"*")=0,"未登録",VLOOKUP(LEFT($D$6,SEARCH("：",$D$6)-1)&amp;C34&amp;TEXT($D$5,"-YYYYMM"),データ!$A:$D,4,1)))</f>
        <v/>
      </c>
      <c r="G34" s="13" t="str">
        <f t="shared" si="1"/>
        <v/>
      </c>
      <c r="H34" s="19"/>
    </row>
    <row r="35" spans="2:8" ht="18" customHeight="1" thickBot="1" x14ac:dyDescent="0.2">
      <c r="F35" s="18" t="s">
        <v>10</v>
      </c>
      <c r="G35" s="43">
        <f>SUM(G15:G34)</f>
        <v>0</v>
      </c>
    </row>
    <row r="36" spans="2:8" ht="18" customHeight="1" x14ac:dyDescent="0.15"/>
    <row r="37" spans="2:8" ht="18" customHeight="1" x14ac:dyDescent="0.15"/>
    <row r="38" spans="2:8" ht="18" customHeight="1" x14ac:dyDescent="0.15"/>
    <row r="39" spans="2:8" ht="18" customHeight="1" x14ac:dyDescent="0.15"/>
    <row r="40" spans="2:8" ht="18" customHeight="1" x14ac:dyDescent="0.15"/>
    <row r="41" spans="2:8" ht="18" customHeight="1" x14ac:dyDescent="0.15"/>
    <row r="42" spans="2:8" ht="18" customHeight="1" x14ac:dyDescent="0.15"/>
    <row r="43" spans="2:8" ht="18" customHeight="1" x14ac:dyDescent="0.15"/>
    <row r="44" spans="2:8" ht="18" customHeight="1" x14ac:dyDescent="0.15"/>
    <row r="45" spans="2:8" ht="18" customHeight="1" x14ac:dyDescent="0.15"/>
    <row r="46" spans="2:8" ht="18" customHeight="1" x14ac:dyDescent="0.15"/>
    <row r="47" spans="2:8" ht="18" customHeight="1" x14ac:dyDescent="0.15"/>
    <row r="48" spans="2:8" ht="18" customHeight="1" x14ac:dyDescent="0.15"/>
    <row r="49" ht="18" customHeight="1" x14ac:dyDescent="0.15"/>
  </sheetData>
  <sheetProtection password="CC59" sheet="1" objects="1" scenarios="1" selectLockedCells="1"/>
  <dataConsolidate/>
  <mergeCells count="2">
    <mergeCell ref="D1:E2"/>
    <mergeCell ref="C9:G10"/>
  </mergeCells>
  <phoneticPr fontId="2"/>
  <conditionalFormatting sqref="A15:A34 C15:C34">
    <cfRule type="cellIs" dxfId="2" priority="2" operator="equal">
      <formula>"**"</formula>
    </cfRule>
  </conditionalFormatting>
  <conditionalFormatting sqref="D15:D34">
    <cfRule type="cellIs" dxfId="1" priority="7" operator="equal">
      <formula>"未登録部材"</formula>
    </cfRule>
  </conditionalFormatting>
  <conditionalFormatting sqref="F15:F34">
    <cfRule type="cellIs" dxfId="0" priority="6" operator="equal">
      <formula>"未登録"</formula>
    </cfRule>
  </conditionalFormatting>
  <dataValidations count="7">
    <dataValidation type="list" allowBlank="1" showInputMessage="1" showErrorMessage="1" sqref="D6" xr:uid="{00000000-0002-0000-0000-000000000000}">
      <formula1>"11：鉄骨,18：軽鉄,41：外階段,98：部品,99：資材"</formula1>
    </dataValidation>
    <dataValidation type="custom" allowBlank="1" showInputMessage="1" showErrorMessage="1" errorTitle="文字数エラー" error="摘要には60バイト(全角30文字)まで入力できます。" sqref="C9:G10" xr:uid="{00000000-0002-0000-0000-000001000000}">
      <formula1>LENB(C9)&lt;=60</formula1>
    </dataValidation>
    <dataValidation type="date" imeMode="disabled" operator="greaterThanOrEqual" allowBlank="1" showInputMessage="1" showErrorMessage="1" errorTitle="納品日入力エラー" error="前月以降の月のみ打てます。" sqref="D5" xr:uid="{00000000-0002-0000-0000-000002000000}">
      <formula1>EOMONTH(TODAY(),-2)+1</formula1>
    </dataValidation>
    <dataValidation type="textLength" imeMode="off" allowBlank="1" showInputMessage="1" showErrorMessage="1" sqref="C16:C34" xr:uid="{00000000-0002-0000-0000-000003000000}">
      <formula1>5</formula1>
      <formula2>7</formula2>
    </dataValidation>
    <dataValidation type="textLength" imeMode="disabled" allowBlank="1" showInputMessage="1" showErrorMessage="1" errorTitle="入力エラー" error="入力できるコードは5ｹﾀから7ｹﾀまでです。" sqref="C15" xr:uid="{00000000-0002-0000-0000-000004000000}">
      <formula1>5</formula1>
      <formula2>7</formula2>
    </dataValidation>
    <dataValidation type="whole" imeMode="disabled" allowBlank="1" showInputMessage="1" showErrorMessage="1" sqref="E16:E34" xr:uid="{00000000-0002-0000-0000-000005000000}">
      <formula1>-9999</formula1>
      <formula2>9999</formula2>
    </dataValidation>
    <dataValidation type="whole" imeMode="disabled" allowBlank="1" showInputMessage="1" showErrorMessage="1" errorTitle="入力エラー" error="入力できる数量は-9999～9999までです。" sqref="E15" xr:uid="{00000000-0002-0000-0000-000006000000}">
      <formula1>-9999</formula1>
      <formula2>9999</formula2>
    </dataValidation>
  </dataValidations>
  <pageMargins left="0.59055118110236227" right="0.39370078740157483" top="0.78740157480314965" bottom="0.78740157480314965" header="0.39370078740157483" footer="0.3937007874015748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2"/>
  <sheetViews>
    <sheetView workbookViewId="0">
      <selection activeCell="B2" sqref="B2"/>
    </sheetView>
  </sheetViews>
  <sheetFormatPr defaultRowHeight="13.5" x14ac:dyDescent="0.15"/>
  <cols>
    <col min="1" max="2" width="7.5" customWidth="1"/>
    <col min="3" max="3" width="13.75" customWidth="1"/>
    <col min="4" max="4" width="21.25" customWidth="1"/>
    <col min="5" max="5" width="8.75" customWidth="1"/>
    <col min="6" max="6" width="11.25" customWidth="1"/>
    <col min="7" max="7" width="12.5" customWidth="1"/>
  </cols>
  <sheetData>
    <row r="1" spans="1:7" ht="14.25" x14ac:dyDescent="0.15">
      <c r="A1" s="33" t="s">
        <v>18</v>
      </c>
      <c r="B1" s="33" t="s">
        <v>19</v>
      </c>
      <c r="C1" s="33" t="s">
        <v>14</v>
      </c>
      <c r="D1" s="33" t="s">
        <v>6</v>
      </c>
      <c r="E1" s="33" t="s">
        <v>7</v>
      </c>
      <c r="F1" s="33" t="s">
        <v>8</v>
      </c>
      <c r="G1" s="33" t="s">
        <v>9</v>
      </c>
    </row>
    <row r="2" spans="1:7" x14ac:dyDescent="0.15">
      <c r="A2" s="29" t="str">
        <f>IF(C2="","",MONTH(納品書!$D$5))</f>
        <v/>
      </c>
      <c r="B2" t="str">
        <f>IF(C2="","",DAY(納品書!$D$5))</f>
        <v/>
      </c>
      <c r="C2" t="str">
        <f>IF(納品書!C15="","",納品書!C15)</f>
        <v/>
      </c>
      <c r="D2" t="str">
        <f>IF(納品書!D15="","",納品書!D15)</f>
        <v/>
      </c>
      <c r="E2" s="46">
        <f>IF(納品書!E15="","",納品書!E15)</f>
        <v>1</v>
      </c>
      <c r="F2" s="41" t="str">
        <f>IF(納品書!F15="","",納品書!F15)</f>
        <v/>
      </c>
      <c r="G2" s="39" t="str">
        <f>IF(納品書!G15="","",納品書!G15)</f>
        <v/>
      </c>
    </row>
    <row r="3" spans="1:7" x14ac:dyDescent="0.15">
      <c r="A3" s="29" t="str">
        <f>IF(C3="","",MONTH(納品書!$D$5))</f>
        <v/>
      </c>
      <c r="B3" t="str">
        <f>IF(C3="","",DAY(納品書!$D$5))</f>
        <v/>
      </c>
      <c r="C3" t="str">
        <f>IF(納品書!C16="","",納品書!C16)</f>
        <v/>
      </c>
      <c r="D3" t="str">
        <f>IF(納品書!D16="","",納品書!D16)</f>
        <v/>
      </c>
      <c r="E3" s="46" t="str">
        <f>IF(納品書!E16="","",納品書!E16)</f>
        <v/>
      </c>
      <c r="F3" s="41" t="str">
        <f>IF(納品書!F16="","",納品書!F16)</f>
        <v/>
      </c>
      <c r="G3" s="39" t="str">
        <f>IF(納品書!G16="","",納品書!G16)</f>
        <v/>
      </c>
    </row>
    <row r="4" spans="1:7" x14ac:dyDescent="0.15">
      <c r="A4" s="29" t="str">
        <f>IF(C4="","",MONTH(納品書!$D$5))</f>
        <v/>
      </c>
      <c r="B4" t="str">
        <f>IF(C4="","",DAY(納品書!$D$5))</f>
        <v/>
      </c>
      <c r="C4" t="str">
        <f>IF(納品書!C17="","",納品書!C17)</f>
        <v/>
      </c>
      <c r="D4" t="str">
        <f>IF(納品書!D17="","",納品書!D17)</f>
        <v/>
      </c>
      <c r="E4" s="46" t="str">
        <f>IF(納品書!E17="","",納品書!E17)</f>
        <v/>
      </c>
      <c r="F4" s="41" t="str">
        <f>IF(納品書!F17="","",納品書!F17)</f>
        <v/>
      </c>
      <c r="G4" s="39" t="str">
        <f>IF(納品書!G17="","",納品書!G17)</f>
        <v/>
      </c>
    </row>
    <row r="5" spans="1:7" ht="12" customHeight="1" x14ac:dyDescent="0.15">
      <c r="A5" s="29" t="str">
        <f>IF(C5="","",MONTH(納品書!$D$5))</f>
        <v/>
      </c>
      <c r="B5" t="str">
        <f>IF(C5="","",DAY(納品書!$D$5))</f>
        <v/>
      </c>
      <c r="C5" t="str">
        <f>IF(納品書!C18="","",納品書!C18)</f>
        <v/>
      </c>
      <c r="D5" t="str">
        <f>IF(納品書!D18="","",納品書!D18)</f>
        <v/>
      </c>
      <c r="E5" s="46" t="str">
        <f>IF(納品書!E18="","",納品書!E18)</f>
        <v/>
      </c>
      <c r="F5" s="41" t="str">
        <f>IF(納品書!F18="","",納品書!F18)</f>
        <v/>
      </c>
      <c r="G5" s="39" t="str">
        <f>IF(納品書!G18="","",納品書!G18)</f>
        <v/>
      </c>
    </row>
    <row r="6" spans="1:7" x14ac:dyDescent="0.15">
      <c r="A6" s="29" t="str">
        <f>IF(C6="","",MONTH(納品書!$D$5))</f>
        <v/>
      </c>
      <c r="B6" t="str">
        <f>IF(C6="","",DAY(納品書!$D$5))</f>
        <v/>
      </c>
      <c r="C6" t="str">
        <f>IF(納品書!C19="","",納品書!C19)</f>
        <v/>
      </c>
      <c r="D6" t="str">
        <f>IF(納品書!D19="","",納品書!D19)</f>
        <v/>
      </c>
      <c r="E6" s="46" t="str">
        <f>IF(納品書!E19="","",納品書!E19)</f>
        <v/>
      </c>
      <c r="F6" s="41" t="str">
        <f>IF(納品書!F19="","",納品書!F19)</f>
        <v/>
      </c>
      <c r="G6" s="39" t="str">
        <f>IF(納品書!G19="","",納品書!G19)</f>
        <v/>
      </c>
    </row>
    <row r="7" spans="1:7" x14ac:dyDescent="0.15">
      <c r="A7" s="29" t="str">
        <f>IF(C7="","",MONTH(納品書!$D$5))</f>
        <v/>
      </c>
      <c r="B7" t="str">
        <f>IF(C7="","",DAY(納品書!$D$5))</f>
        <v/>
      </c>
      <c r="C7" t="str">
        <f>IF(納品書!C20="","",納品書!C20)</f>
        <v/>
      </c>
      <c r="D7" t="str">
        <f>IF(納品書!D20="","",納品書!D20)</f>
        <v/>
      </c>
      <c r="E7" s="46" t="str">
        <f>IF(納品書!E20="","",納品書!E20)</f>
        <v/>
      </c>
      <c r="F7" s="41" t="str">
        <f>IF(納品書!F20="","",納品書!F20)</f>
        <v/>
      </c>
      <c r="G7" s="39" t="str">
        <f>IF(納品書!G20="","",納品書!G20)</f>
        <v/>
      </c>
    </row>
    <row r="8" spans="1:7" x14ac:dyDescent="0.15">
      <c r="A8" s="29" t="str">
        <f>IF(C8="","",MONTH(納品書!$D$5))</f>
        <v/>
      </c>
      <c r="B8" t="str">
        <f>IF(C8="","",DAY(納品書!$D$5))</f>
        <v/>
      </c>
      <c r="C8" t="str">
        <f>IF(納品書!C21="","",納品書!C21)</f>
        <v/>
      </c>
      <c r="D8" t="str">
        <f>IF(納品書!D21="","",納品書!D21)</f>
        <v/>
      </c>
      <c r="E8" s="46" t="str">
        <f>IF(納品書!E21="","",納品書!E21)</f>
        <v/>
      </c>
      <c r="F8" s="41" t="str">
        <f>IF(納品書!F21="","",納品書!F21)</f>
        <v/>
      </c>
      <c r="G8" s="39" t="str">
        <f>IF(納品書!G21="","",納品書!G21)</f>
        <v/>
      </c>
    </row>
    <row r="9" spans="1:7" x14ac:dyDescent="0.15">
      <c r="A9" s="29" t="str">
        <f>IF(C9="","",MONTH(納品書!$D$5))</f>
        <v/>
      </c>
      <c r="B9" t="str">
        <f>IF(C9="","",DAY(納品書!$D$5))</f>
        <v/>
      </c>
      <c r="C9" t="str">
        <f>IF(納品書!C22="","",納品書!C22)</f>
        <v/>
      </c>
      <c r="D9" t="str">
        <f>IF(納品書!D22="","",納品書!D22)</f>
        <v/>
      </c>
      <c r="E9" s="46" t="str">
        <f>IF(納品書!E22="","",納品書!E22)</f>
        <v/>
      </c>
      <c r="F9" s="41" t="str">
        <f>IF(納品書!F22="","",納品書!F22)</f>
        <v/>
      </c>
      <c r="G9" s="39" t="str">
        <f>IF(納品書!G22="","",納品書!G22)</f>
        <v/>
      </c>
    </row>
    <row r="10" spans="1:7" x14ac:dyDescent="0.15">
      <c r="A10" s="29" t="str">
        <f>IF(C10="","",MONTH(納品書!$D$5))</f>
        <v/>
      </c>
      <c r="B10" t="str">
        <f>IF(C10="","",DAY(納品書!$D$5))</f>
        <v/>
      </c>
      <c r="C10" t="str">
        <f>IF(納品書!C23="","",納品書!C23)</f>
        <v/>
      </c>
      <c r="D10" t="str">
        <f>IF(納品書!D23="","",納品書!D23)</f>
        <v/>
      </c>
      <c r="E10" s="46" t="str">
        <f>IF(納品書!E23="","",納品書!E23)</f>
        <v/>
      </c>
      <c r="F10" s="41" t="str">
        <f>IF(納品書!F23="","",納品書!F23)</f>
        <v/>
      </c>
      <c r="G10" s="39" t="str">
        <f>IF(納品書!G23="","",納品書!G23)</f>
        <v/>
      </c>
    </row>
    <row r="11" spans="1:7" x14ac:dyDescent="0.15">
      <c r="A11" s="29" t="str">
        <f>IF(C11="","",MONTH(納品書!$D$5))</f>
        <v/>
      </c>
      <c r="B11" t="str">
        <f>IF(C11="","",DAY(納品書!$D$5))</f>
        <v/>
      </c>
      <c r="C11" t="str">
        <f>IF(納品書!C24="","",納品書!C24)</f>
        <v/>
      </c>
      <c r="D11" t="str">
        <f>IF(納品書!D24="","",納品書!D24)</f>
        <v/>
      </c>
      <c r="E11" s="46" t="str">
        <f>IF(納品書!E24="","",納品書!E24)</f>
        <v/>
      </c>
      <c r="F11" s="41" t="str">
        <f>IF(納品書!F24="","",納品書!F24)</f>
        <v/>
      </c>
      <c r="G11" s="39" t="str">
        <f>IF(納品書!G24="","",納品書!G24)</f>
        <v/>
      </c>
    </row>
    <row r="12" spans="1:7" x14ac:dyDescent="0.15">
      <c r="A12" s="29" t="str">
        <f>IF(C12="","",MONTH(納品書!$D$5))</f>
        <v/>
      </c>
      <c r="B12" t="str">
        <f>IF(C12="","",DAY(納品書!$D$5))</f>
        <v/>
      </c>
      <c r="C12" t="str">
        <f>IF(納品書!C25="","",納品書!C25)</f>
        <v/>
      </c>
      <c r="D12" t="str">
        <f>IF(納品書!D25="","",納品書!D25)</f>
        <v/>
      </c>
      <c r="E12" s="46" t="str">
        <f>IF(納品書!E25="","",納品書!E25)</f>
        <v/>
      </c>
      <c r="F12" s="41" t="str">
        <f>IF(納品書!F25="","",納品書!F25)</f>
        <v/>
      </c>
      <c r="G12" s="39" t="str">
        <f>IF(納品書!G25="","",納品書!G25)</f>
        <v/>
      </c>
    </row>
    <row r="13" spans="1:7" x14ac:dyDescent="0.15">
      <c r="A13" s="29" t="str">
        <f>IF(C13="","",MONTH(納品書!$D$5))</f>
        <v/>
      </c>
      <c r="B13" t="str">
        <f>IF(C13="","",DAY(納品書!$D$5))</f>
        <v/>
      </c>
      <c r="C13" t="str">
        <f>IF(納品書!C26="","",納品書!C26)</f>
        <v/>
      </c>
      <c r="D13" t="str">
        <f>IF(納品書!D26="","",納品書!D26)</f>
        <v/>
      </c>
      <c r="E13" s="46" t="str">
        <f>IF(納品書!E26="","",納品書!E26)</f>
        <v/>
      </c>
      <c r="F13" s="41" t="str">
        <f>IF(納品書!F26="","",納品書!F26)</f>
        <v/>
      </c>
      <c r="G13" s="39" t="str">
        <f>IF(納品書!G26="","",納品書!G26)</f>
        <v/>
      </c>
    </row>
    <row r="14" spans="1:7" x14ac:dyDescent="0.15">
      <c r="A14" s="29" t="str">
        <f>IF(C14="","",MONTH(納品書!$D$5))</f>
        <v/>
      </c>
      <c r="B14" t="str">
        <f>IF(C14="","",DAY(納品書!$D$5))</f>
        <v/>
      </c>
      <c r="C14" t="str">
        <f>IF(納品書!C27="","",納品書!C27)</f>
        <v/>
      </c>
      <c r="D14" t="str">
        <f>IF(納品書!D27="","",納品書!D27)</f>
        <v/>
      </c>
      <c r="E14" s="46" t="str">
        <f>IF(納品書!E27="","",納品書!E27)</f>
        <v/>
      </c>
      <c r="F14" s="41" t="str">
        <f>IF(納品書!F27="","",納品書!F27)</f>
        <v/>
      </c>
      <c r="G14" s="39" t="str">
        <f>IF(納品書!G27="","",納品書!G27)</f>
        <v/>
      </c>
    </row>
    <row r="15" spans="1:7" x14ac:dyDescent="0.15">
      <c r="A15" s="29" t="str">
        <f>IF(C15="","",MONTH(納品書!$D$5))</f>
        <v/>
      </c>
      <c r="B15" t="str">
        <f>IF(C15="","",DAY(納品書!$D$5))</f>
        <v/>
      </c>
      <c r="C15" t="str">
        <f>IF(納品書!C28="","",納品書!C28)</f>
        <v/>
      </c>
      <c r="D15" t="str">
        <f>IF(納品書!D28="","",納品書!D28)</f>
        <v/>
      </c>
      <c r="E15" s="46" t="str">
        <f>IF(納品書!E28="","",納品書!E28)</f>
        <v/>
      </c>
      <c r="F15" s="41" t="str">
        <f>IF(納品書!F28="","",納品書!F28)</f>
        <v/>
      </c>
      <c r="G15" s="39" t="str">
        <f>IF(納品書!G28="","",納品書!G28)</f>
        <v/>
      </c>
    </row>
    <row r="16" spans="1:7" x14ac:dyDescent="0.15">
      <c r="A16" s="29" t="str">
        <f>IF(C16="","",MONTH(納品書!$D$5))</f>
        <v/>
      </c>
      <c r="B16" t="str">
        <f>IF(C16="","",DAY(納品書!$D$5))</f>
        <v/>
      </c>
      <c r="C16" t="str">
        <f>IF(納品書!C29="","",納品書!C29)</f>
        <v/>
      </c>
      <c r="D16" t="str">
        <f>IF(納品書!D29="","",納品書!D29)</f>
        <v/>
      </c>
      <c r="E16" s="46" t="str">
        <f>IF(納品書!E29="","",納品書!E29)</f>
        <v/>
      </c>
      <c r="F16" s="41" t="str">
        <f>IF(納品書!F29="","",納品書!F29)</f>
        <v/>
      </c>
      <c r="G16" s="39" t="str">
        <f>IF(納品書!G29="","",納品書!G29)</f>
        <v/>
      </c>
    </row>
    <row r="17" spans="1:7" x14ac:dyDescent="0.15">
      <c r="A17" s="29" t="str">
        <f>IF(C17="","",MONTH(納品書!$D$5))</f>
        <v/>
      </c>
      <c r="B17" t="str">
        <f>IF(C17="","",DAY(納品書!$D$5))</f>
        <v/>
      </c>
      <c r="C17" t="str">
        <f>IF(納品書!C30="","",納品書!C30)</f>
        <v/>
      </c>
      <c r="D17" t="str">
        <f>IF(納品書!D30="","",納品書!D30)</f>
        <v/>
      </c>
      <c r="E17" s="46" t="str">
        <f>IF(納品書!E30="","",納品書!E30)</f>
        <v/>
      </c>
      <c r="F17" s="41" t="str">
        <f>IF(納品書!F30="","",納品書!F30)</f>
        <v/>
      </c>
      <c r="G17" s="39" t="str">
        <f>IF(納品書!G30="","",納品書!G30)</f>
        <v/>
      </c>
    </row>
    <row r="18" spans="1:7" x14ac:dyDescent="0.15">
      <c r="A18" s="29" t="str">
        <f>IF(C18="","",MONTH(納品書!$D$5))</f>
        <v/>
      </c>
      <c r="B18" t="str">
        <f>IF(C18="","",DAY(納品書!$D$5))</f>
        <v/>
      </c>
      <c r="C18" t="str">
        <f>IF(納品書!C31="","",納品書!C31)</f>
        <v/>
      </c>
      <c r="D18" t="str">
        <f>IF(納品書!D31="","",納品書!D31)</f>
        <v/>
      </c>
      <c r="E18" s="46" t="str">
        <f>IF(納品書!E31="","",納品書!E31)</f>
        <v/>
      </c>
      <c r="F18" s="41" t="str">
        <f>IF(納品書!F31="","",納品書!F31)</f>
        <v/>
      </c>
      <c r="G18" s="39" t="str">
        <f>IF(納品書!G31="","",納品書!G31)</f>
        <v/>
      </c>
    </row>
    <row r="19" spans="1:7" x14ac:dyDescent="0.15">
      <c r="A19" s="29" t="str">
        <f>IF(C19="","",MONTH(納品書!$D$5))</f>
        <v/>
      </c>
      <c r="B19" t="str">
        <f>IF(C19="","",DAY(納品書!$D$5))</f>
        <v/>
      </c>
      <c r="C19" t="str">
        <f>IF(納品書!C32="","",納品書!C32)</f>
        <v/>
      </c>
      <c r="D19" t="str">
        <f>IF(納品書!D32="","",納品書!D32)</f>
        <v/>
      </c>
      <c r="E19" s="46" t="str">
        <f>IF(納品書!E32="","",納品書!E32)</f>
        <v/>
      </c>
      <c r="F19" s="41" t="str">
        <f>IF(納品書!F32="","",納品書!F32)</f>
        <v/>
      </c>
      <c r="G19" s="39" t="str">
        <f>IF(納品書!G32="","",納品書!G32)</f>
        <v/>
      </c>
    </row>
    <row r="20" spans="1:7" x14ac:dyDescent="0.15">
      <c r="A20" s="29" t="str">
        <f>IF(C20="","",MONTH(納品書!$D$5))</f>
        <v/>
      </c>
      <c r="B20" t="str">
        <f>IF(C20="","",DAY(納品書!$D$5))</f>
        <v/>
      </c>
      <c r="C20" t="str">
        <f>IF(納品書!C33="","",納品書!C33)</f>
        <v/>
      </c>
      <c r="D20" t="str">
        <f>IF(納品書!D33="","",納品書!D33)</f>
        <v/>
      </c>
      <c r="E20" s="46" t="str">
        <f>IF(納品書!E33="","",納品書!E33)</f>
        <v/>
      </c>
      <c r="F20" s="41" t="str">
        <f>IF(納品書!F33="","",納品書!F33)</f>
        <v/>
      </c>
      <c r="G20" s="39" t="str">
        <f>IF(納品書!G33="","",納品書!G33)</f>
        <v/>
      </c>
    </row>
    <row r="21" spans="1:7" x14ac:dyDescent="0.15">
      <c r="A21" s="35" t="str">
        <f>IF(C21="","",MONTH(納品書!$D$5))</f>
        <v/>
      </c>
      <c r="B21" s="36" t="str">
        <f>IF(C21="","",DAY(納品書!$D$5))</f>
        <v/>
      </c>
      <c r="C21" s="36" t="str">
        <f>IF(納品書!C34="","",納品書!C34)</f>
        <v/>
      </c>
      <c r="D21" s="36" t="str">
        <f>IF(納品書!D34="","",納品書!D34)</f>
        <v/>
      </c>
      <c r="E21" s="47" t="str">
        <f>IF(納品書!E34="","",納品書!E34)</f>
        <v/>
      </c>
      <c r="F21" s="42" t="str">
        <f>IF(納品書!F34="","",納品書!F34)</f>
        <v/>
      </c>
      <c r="G21" s="40" t="str">
        <f>IF(納品書!G34="","",納品書!G34)</f>
        <v/>
      </c>
    </row>
    <row r="22" spans="1:7" x14ac:dyDescent="0.15">
      <c r="F22" s="37" t="s">
        <v>20</v>
      </c>
      <c r="G22" s="34">
        <f>納品書!G35</f>
        <v>0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430"/>
  <sheetViews>
    <sheetView topLeftCell="A409" workbookViewId="0">
      <selection activeCell="A420" sqref="A420:E426"/>
    </sheetView>
  </sheetViews>
  <sheetFormatPr defaultRowHeight="13.5" x14ac:dyDescent="0.15"/>
  <cols>
    <col min="1" max="1" width="23.75" customWidth="1"/>
    <col min="2" max="2" width="17.5" customWidth="1"/>
    <col min="3" max="3" width="27.5" customWidth="1"/>
    <col min="4" max="4" width="21.25" customWidth="1"/>
    <col min="5" max="5" width="16.25" customWidth="1"/>
  </cols>
  <sheetData>
    <row r="1" spans="1:5" x14ac:dyDescent="0.15">
      <c r="A1" s="28" t="s">
        <v>13</v>
      </c>
      <c r="B1" s="28" t="s">
        <v>14</v>
      </c>
      <c r="C1" s="30" t="s">
        <v>15</v>
      </c>
      <c r="D1" s="31" t="s">
        <v>16</v>
      </c>
      <c r="E1" s="31" t="s">
        <v>17</v>
      </c>
    </row>
    <row r="2" spans="1:5" x14ac:dyDescent="0.15">
      <c r="A2" s="49" t="s">
        <v>1273</v>
      </c>
      <c r="B2" s="49" t="s">
        <v>1274</v>
      </c>
      <c r="C2" s="49" t="s">
        <v>1275</v>
      </c>
      <c r="D2" s="50">
        <v>2739</v>
      </c>
      <c r="E2" s="49" t="s">
        <v>24</v>
      </c>
    </row>
    <row r="3" spans="1:5" x14ac:dyDescent="0.15">
      <c r="A3" s="49" t="s">
        <v>27</v>
      </c>
      <c r="B3" s="49" t="s">
        <v>28</v>
      </c>
      <c r="C3" s="49" t="s">
        <v>29</v>
      </c>
      <c r="D3" s="50">
        <v>101</v>
      </c>
      <c r="E3" s="49" t="s">
        <v>25</v>
      </c>
    </row>
    <row r="4" spans="1:5" x14ac:dyDescent="0.15">
      <c r="A4" s="49" t="s">
        <v>999</v>
      </c>
      <c r="B4" s="49" t="s">
        <v>1000</v>
      </c>
      <c r="C4" s="49" t="s">
        <v>1001</v>
      </c>
      <c r="D4" s="50">
        <v>2000</v>
      </c>
      <c r="E4" s="49" t="s">
        <v>24</v>
      </c>
    </row>
    <row r="5" spans="1:5" x14ac:dyDescent="0.15">
      <c r="A5" s="49" t="s">
        <v>1162</v>
      </c>
      <c r="B5" s="49" t="s">
        <v>30</v>
      </c>
      <c r="C5" s="49" t="s">
        <v>31</v>
      </c>
      <c r="D5" s="50">
        <v>616.5</v>
      </c>
      <c r="E5" s="49" t="s">
        <v>1163</v>
      </c>
    </row>
    <row r="6" spans="1:5" x14ac:dyDescent="0.15">
      <c r="A6" s="49" t="s">
        <v>33</v>
      </c>
      <c r="B6" s="49" t="s">
        <v>34</v>
      </c>
      <c r="C6" s="49" t="s">
        <v>35</v>
      </c>
      <c r="D6" s="50">
        <v>214.5</v>
      </c>
      <c r="E6" s="49" t="s">
        <v>36</v>
      </c>
    </row>
    <row r="7" spans="1:5" x14ac:dyDescent="0.15">
      <c r="A7" s="49" t="s">
        <v>37</v>
      </c>
      <c r="B7" s="49" t="s">
        <v>38</v>
      </c>
      <c r="C7" s="49" t="s">
        <v>39</v>
      </c>
      <c r="D7" s="50">
        <v>368.6</v>
      </c>
      <c r="E7" s="49" t="s">
        <v>40</v>
      </c>
    </row>
    <row r="8" spans="1:5" x14ac:dyDescent="0.15">
      <c r="A8" s="49" t="s">
        <v>41</v>
      </c>
      <c r="B8" s="49" t="s">
        <v>42</v>
      </c>
      <c r="C8" s="49" t="s">
        <v>43</v>
      </c>
      <c r="D8" s="50">
        <v>296.7</v>
      </c>
      <c r="E8" s="49" t="s">
        <v>36</v>
      </c>
    </row>
    <row r="9" spans="1:5" x14ac:dyDescent="0.15">
      <c r="A9" s="49" t="s">
        <v>44</v>
      </c>
      <c r="B9" s="49" t="s">
        <v>45</v>
      </c>
      <c r="C9" s="49" t="s">
        <v>46</v>
      </c>
      <c r="D9" s="50">
        <v>305.7</v>
      </c>
      <c r="E9" s="49" t="s">
        <v>47</v>
      </c>
    </row>
    <row r="10" spans="1:5" x14ac:dyDescent="0.15">
      <c r="A10" s="49" t="s">
        <v>48</v>
      </c>
      <c r="B10" s="49" t="s">
        <v>49</v>
      </c>
      <c r="C10" s="49" t="s">
        <v>50</v>
      </c>
      <c r="D10" s="50">
        <v>352.3</v>
      </c>
      <c r="E10" s="49" t="s">
        <v>47</v>
      </c>
    </row>
    <row r="11" spans="1:5" x14ac:dyDescent="0.15">
      <c r="A11" s="49" t="s">
        <v>51</v>
      </c>
      <c r="B11" s="49" t="s">
        <v>52</v>
      </c>
      <c r="C11" s="49" t="s">
        <v>53</v>
      </c>
      <c r="D11" s="50">
        <v>258.5</v>
      </c>
      <c r="E11" s="49" t="s">
        <v>36</v>
      </c>
    </row>
    <row r="12" spans="1:5" x14ac:dyDescent="0.15">
      <c r="A12" s="49" t="s">
        <v>54</v>
      </c>
      <c r="B12" s="49" t="s">
        <v>55</v>
      </c>
      <c r="C12" s="49" t="s">
        <v>56</v>
      </c>
      <c r="D12" s="50">
        <v>315.39999999999998</v>
      </c>
      <c r="E12" s="49" t="s">
        <v>47</v>
      </c>
    </row>
    <row r="13" spans="1:5" x14ac:dyDescent="0.15">
      <c r="A13" s="49" t="s">
        <v>57</v>
      </c>
      <c r="B13" s="49" t="s">
        <v>58</v>
      </c>
      <c r="C13" s="49" t="s">
        <v>59</v>
      </c>
      <c r="D13" s="50">
        <v>391.7</v>
      </c>
      <c r="E13" s="49" t="s">
        <v>47</v>
      </c>
    </row>
    <row r="14" spans="1:5" x14ac:dyDescent="0.15">
      <c r="A14" s="49" t="s">
        <v>60</v>
      </c>
      <c r="B14" s="49" t="s">
        <v>61</v>
      </c>
      <c r="C14" s="49" t="s">
        <v>62</v>
      </c>
      <c r="D14" s="50">
        <v>505.5</v>
      </c>
      <c r="E14" s="49" t="s">
        <v>47</v>
      </c>
    </row>
    <row r="15" spans="1:5" x14ac:dyDescent="0.15">
      <c r="A15" s="49" t="s">
        <v>63</v>
      </c>
      <c r="B15" s="49" t="s">
        <v>64</v>
      </c>
      <c r="C15" s="49" t="s">
        <v>65</v>
      </c>
      <c r="D15" s="50">
        <v>572.6</v>
      </c>
      <c r="E15" s="49" t="s">
        <v>36</v>
      </c>
    </row>
    <row r="16" spans="1:5" x14ac:dyDescent="0.15">
      <c r="A16" s="49" t="s">
        <v>66</v>
      </c>
      <c r="B16" s="49" t="s">
        <v>67</v>
      </c>
      <c r="C16" s="49" t="s">
        <v>68</v>
      </c>
      <c r="D16" s="50">
        <v>654</v>
      </c>
      <c r="E16" s="49" t="s">
        <v>40</v>
      </c>
    </row>
    <row r="17" spans="1:5" x14ac:dyDescent="0.15">
      <c r="A17" s="49" t="s">
        <v>69</v>
      </c>
      <c r="B17" s="49" t="s">
        <v>70</v>
      </c>
      <c r="C17" s="49" t="s">
        <v>71</v>
      </c>
      <c r="D17" s="50">
        <v>893</v>
      </c>
      <c r="E17" s="49" t="s">
        <v>40</v>
      </c>
    </row>
    <row r="18" spans="1:5" x14ac:dyDescent="0.15">
      <c r="A18" s="49" t="s">
        <v>72</v>
      </c>
      <c r="B18" s="49" t="s">
        <v>73</v>
      </c>
      <c r="C18" s="49" t="s">
        <v>74</v>
      </c>
      <c r="D18" s="50">
        <v>945.5</v>
      </c>
      <c r="E18" s="49" t="s">
        <v>47</v>
      </c>
    </row>
    <row r="19" spans="1:5" x14ac:dyDescent="0.15">
      <c r="A19" s="49" t="s">
        <v>75</v>
      </c>
      <c r="B19" s="49" t="s">
        <v>76</v>
      </c>
      <c r="C19" s="49" t="s">
        <v>77</v>
      </c>
      <c r="D19" s="50">
        <v>369</v>
      </c>
      <c r="E19" s="49" t="s">
        <v>36</v>
      </c>
    </row>
    <row r="20" spans="1:5" x14ac:dyDescent="0.15">
      <c r="A20" s="49" t="s">
        <v>78</v>
      </c>
      <c r="B20" s="49" t="s">
        <v>79</v>
      </c>
      <c r="C20" s="49" t="s">
        <v>80</v>
      </c>
      <c r="D20" s="50">
        <v>84.7</v>
      </c>
      <c r="E20" s="49" t="s">
        <v>40</v>
      </c>
    </row>
    <row r="21" spans="1:5" x14ac:dyDescent="0.15">
      <c r="A21" s="49" t="s">
        <v>81</v>
      </c>
      <c r="B21" s="49" t="s">
        <v>82</v>
      </c>
      <c r="C21" s="49" t="s">
        <v>83</v>
      </c>
      <c r="D21" s="50">
        <v>65.8</v>
      </c>
      <c r="E21" s="49" t="s">
        <v>36</v>
      </c>
    </row>
    <row r="22" spans="1:5" x14ac:dyDescent="0.15">
      <c r="A22" s="49" t="s">
        <v>84</v>
      </c>
      <c r="B22" s="49" t="s">
        <v>85</v>
      </c>
      <c r="C22" s="49" t="s">
        <v>86</v>
      </c>
      <c r="D22" s="50">
        <v>354.1</v>
      </c>
      <c r="E22" s="49" t="s">
        <v>36</v>
      </c>
    </row>
    <row r="23" spans="1:5" x14ac:dyDescent="0.15">
      <c r="A23" s="49" t="s">
        <v>87</v>
      </c>
      <c r="B23" s="49" t="s">
        <v>88</v>
      </c>
      <c r="C23" s="49" t="s">
        <v>89</v>
      </c>
      <c r="D23" s="50">
        <v>159.30000000000001</v>
      </c>
      <c r="E23" s="49" t="s">
        <v>36</v>
      </c>
    </row>
    <row r="24" spans="1:5" x14ac:dyDescent="0.15">
      <c r="A24" s="49" t="s">
        <v>90</v>
      </c>
      <c r="B24" s="49" t="s">
        <v>91</v>
      </c>
      <c r="C24" s="49" t="s">
        <v>92</v>
      </c>
      <c r="D24" s="50">
        <v>181.9</v>
      </c>
      <c r="E24" s="49" t="s">
        <v>93</v>
      </c>
    </row>
    <row r="25" spans="1:5" x14ac:dyDescent="0.15">
      <c r="A25" s="49" t="s">
        <v>94</v>
      </c>
      <c r="B25" s="49" t="s">
        <v>95</v>
      </c>
      <c r="C25" s="49" t="s">
        <v>96</v>
      </c>
      <c r="D25" s="50">
        <v>330.3</v>
      </c>
      <c r="E25" s="49" t="s">
        <v>40</v>
      </c>
    </row>
    <row r="26" spans="1:5" x14ac:dyDescent="0.15">
      <c r="A26" s="49" t="s">
        <v>97</v>
      </c>
      <c r="B26" s="49" t="s">
        <v>98</v>
      </c>
      <c r="C26" s="49" t="s">
        <v>99</v>
      </c>
      <c r="D26" s="50">
        <v>200.9</v>
      </c>
      <c r="E26" s="49" t="s">
        <v>36</v>
      </c>
    </row>
    <row r="27" spans="1:5" x14ac:dyDescent="0.15">
      <c r="A27" s="49" t="s">
        <v>100</v>
      </c>
      <c r="B27" s="49" t="s">
        <v>101</v>
      </c>
      <c r="C27" s="49" t="s">
        <v>102</v>
      </c>
      <c r="D27" s="50">
        <v>547.20000000000005</v>
      </c>
      <c r="E27" s="49" t="s">
        <v>40</v>
      </c>
    </row>
    <row r="28" spans="1:5" x14ac:dyDescent="0.15">
      <c r="A28" s="49" t="s">
        <v>103</v>
      </c>
      <c r="B28" s="49" t="s">
        <v>104</v>
      </c>
      <c r="C28" s="49" t="s">
        <v>105</v>
      </c>
      <c r="D28" s="50">
        <v>1142</v>
      </c>
      <c r="E28" s="49" t="s">
        <v>40</v>
      </c>
    </row>
    <row r="29" spans="1:5" x14ac:dyDescent="0.15">
      <c r="A29" s="49" t="s">
        <v>106</v>
      </c>
      <c r="B29" s="49" t="s">
        <v>107</v>
      </c>
      <c r="C29" s="49" t="s">
        <v>108</v>
      </c>
      <c r="D29" s="50">
        <v>863.8</v>
      </c>
      <c r="E29" s="49" t="s">
        <v>47</v>
      </c>
    </row>
    <row r="30" spans="1:5" x14ac:dyDescent="0.15">
      <c r="A30" s="49" t="s">
        <v>109</v>
      </c>
      <c r="B30" s="49" t="s">
        <v>110</v>
      </c>
      <c r="C30" s="49" t="s">
        <v>111</v>
      </c>
      <c r="D30" s="50">
        <v>406.6</v>
      </c>
      <c r="E30" s="49" t="s">
        <v>36</v>
      </c>
    </row>
    <row r="31" spans="1:5" x14ac:dyDescent="0.15">
      <c r="A31" s="49" t="s">
        <v>112</v>
      </c>
      <c r="B31" s="49" t="s">
        <v>113</v>
      </c>
      <c r="C31" s="49" t="s">
        <v>114</v>
      </c>
      <c r="D31" s="50">
        <v>6.06</v>
      </c>
      <c r="E31" s="49" t="s">
        <v>115</v>
      </c>
    </row>
    <row r="32" spans="1:5" x14ac:dyDescent="0.15">
      <c r="A32" s="49" t="s">
        <v>829</v>
      </c>
      <c r="B32" s="49" t="s">
        <v>606</v>
      </c>
      <c r="C32" s="49" t="s">
        <v>609</v>
      </c>
      <c r="D32" s="50">
        <v>1328.2</v>
      </c>
      <c r="E32" s="49" t="s">
        <v>800</v>
      </c>
    </row>
    <row r="33" spans="1:5" x14ac:dyDescent="0.15">
      <c r="A33" s="49" t="s">
        <v>830</v>
      </c>
      <c r="B33" s="49" t="s">
        <v>607</v>
      </c>
      <c r="C33" s="49" t="s">
        <v>610</v>
      </c>
      <c r="D33" s="50">
        <v>2016.5</v>
      </c>
      <c r="E33" s="49" t="s">
        <v>800</v>
      </c>
    </row>
    <row r="34" spans="1:5" x14ac:dyDescent="0.15">
      <c r="A34" s="49" t="s">
        <v>831</v>
      </c>
      <c r="B34" s="49" t="s">
        <v>608</v>
      </c>
      <c r="C34" s="49" t="s">
        <v>611</v>
      </c>
      <c r="D34" s="50">
        <v>1429.8</v>
      </c>
      <c r="E34" s="49" t="s">
        <v>800</v>
      </c>
    </row>
    <row r="35" spans="1:5" x14ac:dyDescent="0.15">
      <c r="A35" s="49" t="s">
        <v>832</v>
      </c>
      <c r="B35" s="49" t="s">
        <v>642</v>
      </c>
      <c r="C35" s="49" t="s">
        <v>643</v>
      </c>
      <c r="D35" s="50">
        <v>1478.5</v>
      </c>
      <c r="E35" s="49" t="s">
        <v>800</v>
      </c>
    </row>
    <row r="36" spans="1:5" x14ac:dyDescent="0.15">
      <c r="A36" s="49" t="s">
        <v>633</v>
      </c>
      <c r="B36" s="49" t="s">
        <v>116</v>
      </c>
      <c r="C36" s="49" t="s">
        <v>117</v>
      </c>
      <c r="D36" s="50">
        <v>1542.6</v>
      </c>
      <c r="E36" s="49" t="s">
        <v>632</v>
      </c>
    </row>
    <row r="37" spans="1:5" x14ac:dyDescent="0.15">
      <c r="A37" s="49" t="s">
        <v>833</v>
      </c>
      <c r="B37" s="49" t="s">
        <v>118</v>
      </c>
      <c r="C37" s="49" t="s">
        <v>119</v>
      </c>
      <c r="D37" s="50">
        <v>2387.1</v>
      </c>
      <c r="E37" s="49" t="s">
        <v>800</v>
      </c>
    </row>
    <row r="38" spans="1:5" x14ac:dyDescent="0.15">
      <c r="A38" s="49" t="s">
        <v>834</v>
      </c>
      <c r="B38" s="49" t="s">
        <v>120</v>
      </c>
      <c r="C38" s="49" t="s">
        <v>121</v>
      </c>
      <c r="D38" s="50">
        <v>2387.1</v>
      </c>
      <c r="E38" s="49" t="s">
        <v>800</v>
      </c>
    </row>
    <row r="39" spans="1:5" x14ac:dyDescent="0.15">
      <c r="A39" s="49" t="s">
        <v>835</v>
      </c>
      <c r="B39" s="49" t="s">
        <v>122</v>
      </c>
      <c r="C39" s="49" t="s">
        <v>123</v>
      </c>
      <c r="D39" s="50">
        <v>1441.4</v>
      </c>
      <c r="E39" s="49" t="s">
        <v>800</v>
      </c>
    </row>
    <row r="40" spans="1:5" x14ac:dyDescent="0.15">
      <c r="A40" s="49" t="s">
        <v>836</v>
      </c>
      <c r="B40" s="49" t="s">
        <v>124</v>
      </c>
      <c r="C40" s="49" t="s">
        <v>125</v>
      </c>
      <c r="D40" s="50">
        <v>1441.4</v>
      </c>
      <c r="E40" s="49" t="s">
        <v>800</v>
      </c>
    </row>
    <row r="41" spans="1:5" x14ac:dyDescent="0.15">
      <c r="A41" s="49" t="s">
        <v>837</v>
      </c>
      <c r="B41" s="49" t="s">
        <v>126</v>
      </c>
      <c r="C41" s="49" t="s">
        <v>127</v>
      </c>
      <c r="D41" s="50">
        <v>2239</v>
      </c>
      <c r="E41" s="49" t="s">
        <v>800</v>
      </c>
    </row>
    <row r="42" spans="1:5" x14ac:dyDescent="0.15">
      <c r="A42" s="49" t="s">
        <v>838</v>
      </c>
      <c r="B42" s="49" t="s">
        <v>128</v>
      </c>
      <c r="C42" s="49" t="s">
        <v>129</v>
      </c>
      <c r="D42" s="50">
        <v>2239</v>
      </c>
      <c r="E42" s="49" t="s">
        <v>800</v>
      </c>
    </row>
    <row r="43" spans="1:5" x14ac:dyDescent="0.15">
      <c r="A43" s="49" t="s">
        <v>1164</v>
      </c>
      <c r="B43" s="49" t="s">
        <v>677</v>
      </c>
      <c r="C43" s="49" t="s">
        <v>678</v>
      </c>
      <c r="D43" s="50">
        <v>1445.1</v>
      </c>
      <c r="E43" s="49" t="s">
        <v>1163</v>
      </c>
    </row>
    <row r="44" spans="1:5" x14ac:dyDescent="0.15">
      <c r="A44" s="49" t="s">
        <v>1165</v>
      </c>
      <c r="B44" s="49" t="s">
        <v>679</v>
      </c>
      <c r="C44" s="49" t="s">
        <v>680</v>
      </c>
      <c r="D44" s="50">
        <v>1563.8</v>
      </c>
      <c r="E44" s="49" t="s">
        <v>1163</v>
      </c>
    </row>
    <row r="45" spans="1:5" x14ac:dyDescent="0.15">
      <c r="A45" s="49" t="s">
        <v>1030</v>
      </c>
      <c r="B45" s="49" t="s">
        <v>681</v>
      </c>
      <c r="C45" s="49" t="s">
        <v>682</v>
      </c>
      <c r="D45" s="50">
        <v>2705.2</v>
      </c>
      <c r="E45" s="49" t="s">
        <v>1029</v>
      </c>
    </row>
    <row r="46" spans="1:5" x14ac:dyDescent="0.15">
      <c r="A46" s="49" t="s">
        <v>1166</v>
      </c>
      <c r="B46" s="49" t="s">
        <v>683</v>
      </c>
      <c r="C46" s="49" t="s">
        <v>684</v>
      </c>
      <c r="D46" s="50">
        <v>613.6</v>
      </c>
      <c r="E46" s="49" t="s">
        <v>1163</v>
      </c>
    </row>
    <row r="47" spans="1:5" x14ac:dyDescent="0.15">
      <c r="A47" s="49" t="s">
        <v>1031</v>
      </c>
      <c r="B47" s="49" t="s">
        <v>685</v>
      </c>
      <c r="C47" s="49" t="s">
        <v>686</v>
      </c>
      <c r="D47" s="50">
        <v>1147</v>
      </c>
      <c r="E47" s="49" t="s">
        <v>1029</v>
      </c>
    </row>
    <row r="48" spans="1:5" x14ac:dyDescent="0.15">
      <c r="A48" s="49" t="s">
        <v>1167</v>
      </c>
      <c r="B48" s="49" t="s">
        <v>687</v>
      </c>
      <c r="C48" s="49" t="s">
        <v>688</v>
      </c>
      <c r="D48" s="50">
        <v>615.5</v>
      </c>
      <c r="E48" s="49" t="s">
        <v>1163</v>
      </c>
    </row>
    <row r="49" spans="1:5" x14ac:dyDescent="0.15">
      <c r="A49" s="49" t="s">
        <v>1168</v>
      </c>
      <c r="B49" s="49" t="s">
        <v>689</v>
      </c>
      <c r="C49" s="49" t="s">
        <v>690</v>
      </c>
      <c r="D49" s="50">
        <v>1716.8</v>
      </c>
      <c r="E49" s="49" t="s">
        <v>1163</v>
      </c>
    </row>
    <row r="50" spans="1:5" x14ac:dyDescent="0.15">
      <c r="A50" s="49" t="s">
        <v>1169</v>
      </c>
      <c r="B50" s="49" t="s">
        <v>691</v>
      </c>
      <c r="C50" s="49" t="s">
        <v>692</v>
      </c>
      <c r="D50" s="50">
        <v>655.29999999999995</v>
      </c>
      <c r="E50" s="49" t="s">
        <v>1163</v>
      </c>
    </row>
    <row r="51" spans="1:5" x14ac:dyDescent="0.15">
      <c r="A51" s="49" t="s">
        <v>1170</v>
      </c>
      <c r="B51" s="49" t="s">
        <v>693</v>
      </c>
      <c r="C51" s="49" t="s">
        <v>694</v>
      </c>
      <c r="D51" s="50">
        <v>655.29999999999995</v>
      </c>
      <c r="E51" s="49" t="s">
        <v>1163</v>
      </c>
    </row>
    <row r="52" spans="1:5" x14ac:dyDescent="0.15">
      <c r="A52" s="49" t="s">
        <v>1171</v>
      </c>
      <c r="B52" s="49" t="s">
        <v>695</v>
      </c>
      <c r="C52" s="49" t="s">
        <v>696</v>
      </c>
      <c r="D52" s="50">
        <v>1209.5999999999999</v>
      </c>
      <c r="E52" s="49" t="s">
        <v>1163</v>
      </c>
    </row>
    <row r="53" spans="1:5" x14ac:dyDescent="0.15">
      <c r="A53" s="49" t="s">
        <v>1172</v>
      </c>
      <c r="B53" s="49" t="s">
        <v>697</v>
      </c>
      <c r="C53" s="49" t="s">
        <v>698</v>
      </c>
      <c r="D53" s="50">
        <v>1485.6</v>
      </c>
      <c r="E53" s="49" t="s">
        <v>1163</v>
      </c>
    </row>
    <row r="54" spans="1:5" x14ac:dyDescent="0.15">
      <c r="A54" s="49" t="s">
        <v>1173</v>
      </c>
      <c r="B54" s="49" t="s">
        <v>699</v>
      </c>
      <c r="C54" s="49" t="s">
        <v>700</v>
      </c>
      <c r="D54" s="50">
        <v>2406</v>
      </c>
      <c r="E54" s="49" t="s">
        <v>1163</v>
      </c>
    </row>
    <row r="55" spans="1:5" x14ac:dyDescent="0.15">
      <c r="A55" s="49" t="s">
        <v>1174</v>
      </c>
      <c r="B55" s="49" t="s">
        <v>701</v>
      </c>
      <c r="C55" s="49" t="s">
        <v>702</v>
      </c>
      <c r="D55" s="50">
        <v>2406</v>
      </c>
      <c r="E55" s="49" t="s">
        <v>1163</v>
      </c>
    </row>
    <row r="56" spans="1:5" x14ac:dyDescent="0.15">
      <c r="A56" s="49" t="s">
        <v>1032</v>
      </c>
      <c r="B56" s="49" t="s">
        <v>703</v>
      </c>
      <c r="C56" s="49" t="s">
        <v>704</v>
      </c>
      <c r="D56" s="50">
        <v>3900.9</v>
      </c>
      <c r="E56" s="49" t="s">
        <v>1029</v>
      </c>
    </row>
    <row r="57" spans="1:5" x14ac:dyDescent="0.15">
      <c r="A57" s="49" t="s">
        <v>1299</v>
      </c>
      <c r="B57" s="49" t="s">
        <v>705</v>
      </c>
      <c r="C57" s="49" t="s">
        <v>706</v>
      </c>
      <c r="D57" s="50">
        <v>37</v>
      </c>
      <c r="E57" s="49" t="s">
        <v>1300</v>
      </c>
    </row>
    <row r="58" spans="1:5" x14ac:dyDescent="0.15">
      <c r="A58" s="49" t="s">
        <v>130</v>
      </c>
      <c r="B58" s="49" t="s">
        <v>131</v>
      </c>
      <c r="C58" s="49" t="s">
        <v>132</v>
      </c>
      <c r="D58" s="50">
        <v>10.4</v>
      </c>
      <c r="E58" s="49" t="s">
        <v>133</v>
      </c>
    </row>
    <row r="59" spans="1:5" x14ac:dyDescent="0.15">
      <c r="A59" s="49" t="s">
        <v>1175</v>
      </c>
      <c r="B59" s="49" t="s">
        <v>134</v>
      </c>
      <c r="C59" s="49" t="s">
        <v>135</v>
      </c>
      <c r="D59" s="50">
        <v>95.3</v>
      </c>
      <c r="E59" s="49" t="s">
        <v>1163</v>
      </c>
    </row>
    <row r="60" spans="1:5" x14ac:dyDescent="0.15">
      <c r="A60" s="49" t="s">
        <v>839</v>
      </c>
      <c r="B60" s="49" t="s">
        <v>136</v>
      </c>
      <c r="C60" s="49" t="s">
        <v>137</v>
      </c>
      <c r="D60" s="50">
        <v>739.1</v>
      </c>
      <c r="E60" s="49" t="s">
        <v>800</v>
      </c>
    </row>
    <row r="61" spans="1:5" x14ac:dyDescent="0.15">
      <c r="A61" s="49" t="s">
        <v>840</v>
      </c>
      <c r="B61" s="49" t="s">
        <v>138</v>
      </c>
      <c r="C61" s="49" t="s">
        <v>139</v>
      </c>
      <c r="D61" s="50">
        <v>507.8</v>
      </c>
      <c r="E61" s="49" t="s">
        <v>800</v>
      </c>
    </row>
    <row r="62" spans="1:5" x14ac:dyDescent="0.15">
      <c r="A62" s="49" t="s">
        <v>140</v>
      </c>
      <c r="B62" s="49" t="s">
        <v>141</v>
      </c>
      <c r="C62" s="49" t="s">
        <v>142</v>
      </c>
      <c r="D62" s="50">
        <v>0</v>
      </c>
      <c r="E62" s="49" t="s">
        <v>143</v>
      </c>
    </row>
    <row r="63" spans="1:5" x14ac:dyDescent="0.15">
      <c r="A63" s="49" t="s">
        <v>1176</v>
      </c>
      <c r="B63" s="49" t="s">
        <v>144</v>
      </c>
      <c r="C63" s="49" t="s">
        <v>145</v>
      </c>
      <c r="D63" s="50">
        <v>336.9</v>
      </c>
      <c r="E63" s="49" t="s">
        <v>1163</v>
      </c>
    </row>
    <row r="64" spans="1:5" x14ac:dyDescent="0.15">
      <c r="A64" s="49" t="s">
        <v>841</v>
      </c>
      <c r="B64" s="49" t="s">
        <v>146</v>
      </c>
      <c r="C64" s="49" t="s">
        <v>147</v>
      </c>
      <c r="D64" s="50">
        <v>418.5</v>
      </c>
      <c r="E64" s="49" t="s">
        <v>800</v>
      </c>
    </row>
    <row r="65" spans="1:5" x14ac:dyDescent="0.15">
      <c r="A65" s="49" t="s">
        <v>1177</v>
      </c>
      <c r="B65" s="49" t="s">
        <v>148</v>
      </c>
      <c r="C65" s="49" t="s">
        <v>149</v>
      </c>
      <c r="D65" s="50">
        <v>522.1</v>
      </c>
      <c r="E65" s="49" t="s">
        <v>1163</v>
      </c>
    </row>
    <row r="66" spans="1:5" x14ac:dyDescent="0.15">
      <c r="A66" s="49" t="s">
        <v>1178</v>
      </c>
      <c r="B66" s="49" t="s">
        <v>150</v>
      </c>
      <c r="C66" s="49" t="s">
        <v>151</v>
      </c>
      <c r="D66" s="50">
        <v>556.4</v>
      </c>
      <c r="E66" s="49" t="s">
        <v>1163</v>
      </c>
    </row>
    <row r="67" spans="1:5" x14ac:dyDescent="0.15">
      <c r="A67" s="49" t="s">
        <v>1179</v>
      </c>
      <c r="B67" s="49" t="s">
        <v>152</v>
      </c>
      <c r="C67" s="49" t="s">
        <v>153</v>
      </c>
      <c r="D67" s="50">
        <v>71</v>
      </c>
      <c r="E67" s="49" t="s">
        <v>1163</v>
      </c>
    </row>
    <row r="68" spans="1:5" x14ac:dyDescent="0.15">
      <c r="A68" s="49" t="s">
        <v>1180</v>
      </c>
      <c r="B68" s="49" t="s">
        <v>154</v>
      </c>
      <c r="C68" s="49" t="s">
        <v>155</v>
      </c>
      <c r="D68" s="50">
        <v>1391.8</v>
      </c>
      <c r="E68" s="49" t="s">
        <v>1163</v>
      </c>
    </row>
    <row r="69" spans="1:5" x14ac:dyDescent="0.15">
      <c r="A69" s="49" t="s">
        <v>1033</v>
      </c>
      <c r="B69" s="49" t="s">
        <v>156</v>
      </c>
      <c r="C69" s="49" t="s">
        <v>157</v>
      </c>
      <c r="D69" s="50">
        <v>1223.9000000000001</v>
      </c>
      <c r="E69" s="49" t="s">
        <v>1029</v>
      </c>
    </row>
    <row r="70" spans="1:5" x14ac:dyDescent="0.15">
      <c r="A70" s="49" t="s">
        <v>1181</v>
      </c>
      <c r="B70" s="49" t="s">
        <v>158</v>
      </c>
      <c r="C70" s="49" t="s">
        <v>159</v>
      </c>
      <c r="D70" s="50">
        <v>669.5</v>
      </c>
      <c r="E70" s="49" t="s">
        <v>1163</v>
      </c>
    </row>
    <row r="71" spans="1:5" x14ac:dyDescent="0.15">
      <c r="A71" s="49" t="s">
        <v>1182</v>
      </c>
      <c r="B71" s="49" t="s">
        <v>160</v>
      </c>
      <c r="C71" s="49" t="s">
        <v>161</v>
      </c>
      <c r="D71" s="50">
        <v>781.4</v>
      </c>
      <c r="E71" s="49" t="s">
        <v>1163</v>
      </c>
    </row>
    <row r="72" spans="1:5" x14ac:dyDescent="0.15">
      <c r="A72" s="49" t="s">
        <v>1034</v>
      </c>
      <c r="B72" s="49" t="s">
        <v>162</v>
      </c>
      <c r="C72" s="49" t="s">
        <v>163</v>
      </c>
      <c r="D72" s="50">
        <v>962.7</v>
      </c>
      <c r="E72" s="49" t="s">
        <v>1029</v>
      </c>
    </row>
    <row r="73" spans="1:5" x14ac:dyDescent="0.15">
      <c r="A73" s="49" t="s">
        <v>1183</v>
      </c>
      <c r="B73" s="49" t="s">
        <v>164</v>
      </c>
      <c r="C73" s="49" t="s">
        <v>165</v>
      </c>
      <c r="D73" s="50">
        <v>364.6</v>
      </c>
      <c r="E73" s="49" t="s">
        <v>1163</v>
      </c>
    </row>
    <row r="74" spans="1:5" x14ac:dyDescent="0.15">
      <c r="A74" s="49" t="s">
        <v>1184</v>
      </c>
      <c r="B74" s="49" t="s">
        <v>166</v>
      </c>
      <c r="C74" s="49" t="s">
        <v>167</v>
      </c>
      <c r="D74" s="50">
        <v>375.8</v>
      </c>
      <c r="E74" s="49" t="s">
        <v>1163</v>
      </c>
    </row>
    <row r="75" spans="1:5" x14ac:dyDescent="0.15">
      <c r="A75" s="49" t="s">
        <v>1185</v>
      </c>
      <c r="B75" s="49" t="s">
        <v>168</v>
      </c>
      <c r="C75" s="49" t="s">
        <v>169</v>
      </c>
      <c r="D75" s="50">
        <v>402.2</v>
      </c>
      <c r="E75" s="49" t="s">
        <v>1163</v>
      </c>
    </row>
    <row r="76" spans="1:5" x14ac:dyDescent="0.15">
      <c r="A76" s="49" t="s">
        <v>1035</v>
      </c>
      <c r="B76" s="49" t="s">
        <v>170</v>
      </c>
      <c r="C76" s="49" t="s">
        <v>171</v>
      </c>
      <c r="D76" s="50">
        <v>381.7</v>
      </c>
      <c r="E76" s="49" t="s">
        <v>1029</v>
      </c>
    </row>
    <row r="77" spans="1:5" x14ac:dyDescent="0.15">
      <c r="A77" s="49" t="s">
        <v>1186</v>
      </c>
      <c r="B77" s="49" t="s">
        <v>172</v>
      </c>
      <c r="C77" s="49" t="s">
        <v>173</v>
      </c>
      <c r="D77" s="50">
        <v>519.29999999999995</v>
      </c>
      <c r="E77" s="49" t="s">
        <v>1163</v>
      </c>
    </row>
    <row r="78" spans="1:5" x14ac:dyDescent="0.15">
      <c r="A78" s="49" t="s">
        <v>1187</v>
      </c>
      <c r="B78" s="49" t="s">
        <v>174</v>
      </c>
      <c r="C78" s="49" t="s">
        <v>175</v>
      </c>
      <c r="D78" s="50">
        <v>588.9</v>
      </c>
      <c r="E78" s="49" t="s">
        <v>1163</v>
      </c>
    </row>
    <row r="79" spans="1:5" x14ac:dyDescent="0.15">
      <c r="A79" s="49" t="s">
        <v>176</v>
      </c>
      <c r="B79" s="49" t="s">
        <v>177</v>
      </c>
      <c r="C79" s="49" t="s">
        <v>178</v>
      </c>
      <c r="D79" s="50">
        <v>607.70000000000005</v>
      </c>
      <c r="E79" s="49" t="s">
        <v>179</v>
      </c>
    </row>
    <row r="80" spans="1:5" x14ac:dyDescent="0.15">
      <c r="A80" s="49" t="s">
        <v>180</v>
      </c>
      <c r="B80" s="49" t="s">
        <v>181</v>
      </c>
      <c r="C80" s="49" t="s">
        <v>182</v>
      </c>
      <c r="D80" s="50">
        <v>977.7</v>
      </c>
      <c r="E80" s="49" t="s">
        <v>183</v>
      </c>
    </row>
    <row r="81" spans="1:5" x14ac:dyDescent="0.15">
      <c r="A81" s="49" t="s">
        <v>184</v>
      </c>
      <c r="B81" s="49" t="s">
        <v>185</v>
      </c>
      <c r="C81" s="49" t="s">
        <v>186</v>
      </c>
      <c r="D81" s="50">
        <v>1271.9000000000001</v>
      </c>
      <c r="E81" s="49" t="s">
        <v>183</v>
      </c>
    </row>
    <row r="82" spans="1:5" x14ac:dyDescent="0.15">
      <c r="A82" s="49" t="s">
        <v>842</v>
      </c>
      <c r="B82" s="49" t="s">
        <v>187</v>
      </c>
      <c r="C82" s="49" t="s">
        <v>188</v>
      </c>
      <c r="D82" s="50">
        <v>959.7</v>
      </c>
      <c r="E82" s="49" t="s">
        <v>800</v>
      </c>
    </row>
    <row r="83" spans="1:5" x14ac:dyDescent="0.15">
      <c r="A83" s="49" t="s">
        <v>843</v>
      </c>
      <c r="B83" s="49" t="s">
        <v>189</v>
      </c>
      <c r="C83" s="49" t="s">
        <v>190</v>
      </c>
      <c r="D83" s="50">
        <v>1014.8</v>
      </c>
      <c r="E83" s="49" t="s">
        <v>800</v>
      </c>
    </row>
    <row r="84" spans="1:5" x14ac:dyDescent="0.15">
      <c r="A84" s="49" t="s">
        <v>1188</v>
      </c>
      <c r="B84" s="49" t="s">
        <v>191</v>
      </c>
      <c r="C84" s="49" t="s">
        <v>192</v>
      </c>
      <c r="D84" s="50">
        <v>70.5</v>
      </c>
      <c r="E84" s="49" t="s">
        <v>1163</v>
      </c>
    </row>
    <row r="85" spans="1:5" x14ac:dyDescent="0.15">
      <c r="A85" s="49" t="s">
        <v>1189</v>
      </c>
      <c r="B85" s="49" t="s">
        <v>193</v>
      </c>
      <c r="C85" s="49" t="s">
        <v>194</v>
      </c>
      <c r="D85" s="50">
        <v>550.9</v>
      </c>
      <c r="E85" s="49" t="s">
        <v>1163</v>
      </c>
    </row>
    <row r="86" spans="1:5" x14ac:dyDescent="0.15">
      <c r="A86" s="49" t="s">
        <v>1190</v>
      </c>
      <c r="B86" s="49" t="s">
        <v>195</v>
      </c>
      <c r="C86" s="49" t="s">
        <v>196</v>
      </c>
      <c r="D86" s="50">
        <v>550.9</v>
      </c>
      <c r="E86" s="49" t="s">
        <v>1163</v>
      </c>
    </row>
    <row r="87" spans="1:5" x14ac:dyDescent="0.15">
      <c r="A87" s="49" t="s">
        <v>197</v>
      </c>
      <c r="B87" s="49" t="s">
        <v>198</v>
      </c>
      <c r="C87" s="49" t="s">
        <v>199</v>
      </c>
      <c r="D87" s="50">
        <v>513.5</v>
      </c>
      <c r="E87" s="49" t="s">
        <v>23</v>
      </c>
    </row>
    <row r="88" spans="1:5" x14ac:dyDescent="0.15">
      <c r="A88" s="49" t="s">
        <v>200</v>
      </c>
      <c r="B88" s="49" t="s">
        <v>201</v>
      </c>
      <c r="C88" s="49" t="s">
        <v>202</v>
      </c>
      <c r="D88" s="50">
        <v>513.5</v>
      </c>
      <c r="E88" s="49" t="s">
        <v>23</v>
      </c>
    </row>
    <row r="89" spans="1:5" x14ac:dyDescent="0.15">
      <c r="A89" s="49" t="s">
        <v>203</v>
      </c>
      <c r="B89" s="49" t="s">
        <v>204</v>
      </c>
      <c r="C89" s="49" t="s">
        <v>205</v>
      </c>
      <c r="D89" s="50">
        <v>478.7</v>
      </c>
      <c r="E89" s="49" t="s">
        <v>22</v>
      </c>
    </row>
    <row r="90" spans="1:5" x14ac:dyDescent="0.15">
      <c r="A90" s="49" t="s">
        <v>206</v>
      </c>
      <c r="B90" s="49" t="s">
        <v>207</v>
      </c>
      <c r="C90" s="49" t="s">
        <v>208</v>
      </c>
      <c r="D90" s="50">
        <v>478.7</v>
      </c>
      <c r="E90" s="49" t="s">
        <v>22</v>
      </c>
    </row>
    <row r="91" spans="1:5" x14ac:dyDescent="0.15">
      <c r="A91" s="49" t="s">
        <v>844</v>
      </c>
      <c r="B91" s="49" t="s">
        <v>209</v>
      </c>
      <c r="C91" s="49" t="s">
        <v>210</v>
      </c>
      <c r="D91" s="50">
        <v>502.3</v>
      </c>
      <c r="E91" s="49" t="s">
        <v>800</v>
      </c>
    </row>
    <row r="92" spans="1:5" x14ac:dyDescent="0.15">
      <c r="A92" s="49" t="s">
        <v>845</v>
      </c>
      <c r="B92" s="49" t="s">
        <v>211</v>
      </c>
      <c r="C92" s="49" t="s">
        <v>212</v>
      </c>
      <c r="D92" s="50">
        <v>502.3</v>
      </c>
      <c r="E92" s="49" t="s">
        <v>800</v>
      </c>
    </row>
    <row r="93" spans="1:5" x14ac:dyDescent="0.15">
      <c r="A93" s="49" t="s">
        <v>846</v>
      </c>
      <c r="B93" s="49" t="s">
        <v>213</v>
      </c>
      <c r="C93" s="49" t="s">
        <v>214</v>
      </c>
      <c r="D93" s="50">
        <v>1643.2</v>
      </c>
      <c r="E93" s="49" t="s">
        <v>800</v>
      </c>
    </row>
    <row r="94" spans="1:5" x14ac:dyDescent="0.15">
      <c r="A94" s="49" t="s">
        <v>847</v>
      </c>
      <c r="B94" s="49" t="s">
        <v>215</v>
      </c>
      <c r="C94" s="49" t="s">
        <v>216</v>
      </c>
      <c r="D94" s="50">
        <v>1643.2</v>
      </c>
      <c r="E94" s="49" t="s">
        <v>800</v>
      </c>
    </row>
    <row r="95" spans="1:5" x14ac:dyDescent="0.15">
      <c r="A95" s="49" t="s">
        <v>217</v>
      </c>
      <c r="B95" s="49" t="s">
        <v>218</v>
      </c>
      <c r="C95" s="49" t="s">
        <v>219</v>
      </c>
      <c r="D95" s="50">
        <v>751.1</v>
      </c>
      <c r="E95" s="49" t="s">
        <v>23</v>
      </c>
    </row>
    <row r="96" spans="1:5" x14ac:dyDescent="0.15">
      <c r="A96" s="49" t="s">
        <v>220</v>
      </c>
      <c r="B96" s="49" t="s">
        <v>221</v>
      </c>
      <c r="C96" s="49" t="s">
        <v>222</v>
      </c>
      <c r="D96" s="50">
        <v>751.1</v>
      </c>
      <c r="E96" s="49" t="s">
        <v>23</v>
      </c>
    </row>
    <row r="97" spans="1:5" x14ac:dyDescent="0.15">
      <c r="A97" s="49" t="s">
        <v>223</v>
      </c>
      <c r="B97" s="49" t="s">
        <v>224</v>
      </c>
      <c r="C97" s="49" t="s">
        <v>225</v>
      </c>
      <c r="D97" s="50">
        <v>1112.4000000000001</v>
      </c>
      <c r="E97" s="49" t="s">
        <v>23</v>
      </c>
    </row>
    <row r="98" spans="1:5" x14ac:dyDescent="0.15">
      <c r="A98" s="49" t="s">
        <v>848</v>
      </c>
      <c r="B98" s="49" t="s">
        <v>226</v>
      </c>
      <c r="C98" s="49" t="s">
        <v>227</v>
      </c>
      <c r="D98" s="50">
        <v>2566.1</v>
      </c>
      <c r="E98" s="49" t="s">
        <v>800</v>
      </c>
    </row>
    <row r="99" spans="1:5" x14ac:dyDescent="0.15">
      <c r="A99" s="49" t="s">
        <v>849</v>
      </c>
      <c r="B99" s="49" t="s">
        <v>228</v>
      </c>
      <c r="C99" s="49" t="s">
        <v>229</v>
      </c>
      <c r="D99" s="50">
        <v>1178.8</v>
      </c>
      <c r="E99" s="49" t="s">
        <v>800</v>
      </c>
    </row>
    <row r="100" spans="1:5" x14ac:dyDescent="0.15">
      <c r="A100" s="49" t="s">
        <v>850</v>
      </c>
      <c r="B100" s="49" t="s">
        <v>230</v>
      </c>
      <c r="C100" s="49" t="s">
        <v>231</v>
      </c>
      <c r="D100" s="50">
        <v>916.5</v>
      </c>
      <c r="E100" s="49" t="s">
        <v>800</v>
      </c>
    </row>
    <row r="101" spans="1:5" x14ac:dyDescent="0.15">
      <c r="A101" s="49" t="s">
        <v>851</v>
      </c>
      <c r="B101" s="49" t="s">
        <v>232</v>
      </c>
      <c r="C101" s="49" t="s">
        <v>233</v>
      </c>
      <c r="D101" s="50">
        <v>916.5</v>
      </c>
      <c r="E101" s="49" t="s">
        <v>800</v>
      </c>
    </row>
    <row r="102" spans="1:5" x14ac:dyDescent="0.15">
      <c r="A102" s="49" t="s">
        <v>1036</v>
      </c>
      <c r="B102" s="49" t="s">
        <v>234</v>
      </c>
      <c r="C102" s="49" t="s">
        <v>235</v>
      </c>
      <c r="D102" s="50">
        <v>1180.4000000000001</v>
      </c>
      <c r="E102" s="49" t="s">
        <v>1029</v>
      </c>
    </row>
    <row r="103" spans="1:5" x14ac:dyDescent="0.15">
      <c r="A103" s="49" t="s">
        <v>236</v>
      </c>
      <c r="B103" s="49" t="s">
        <v>237</v>
      </c>
      <c r="C103" s="49" t="s">
        <v>238</v>
      </c>
      <c r="D103" s="50">
        <v>1252.3</v>
      </c>
      <c r="E103" s="49" t="s">
        <v>179</v>
      </c>
    </row>
    <row r="104" spans="1:5" x14ac:dyDescent="0.15">
      <c r="A104" s="49" t="s">
        <v>1037</v>
      </c>
      <c r="B104" s="49" t="s">
        <v>239</v>
      </c>
      <c r="C104" s="49" t="s">
        <v>240</v>
      </c>
      <c r="D104" s="50">
        <v>1134.5999999999999</v>
      </c>
      <c r="E104" s="49" t="s">
        <v>1029</v>
      </c>
    </row>
    <row r="105" spans="1:5" x14ac:dyDescent="0.15">
      <c r="A105" s="49" t="s">
        <v>852</v>
      </c>
      <c r="B105" s="49" t="s">
        <v>241</v>
      </c>
      <c r="C105" s="49" t="s">
        <v>242</v>
      </c>
      <c r="D105" s="50">
        <v>821.7</v>
      </c>
      <c r="E105" s="49" t="s">
        <v>800</v>
      </c>
    </row>
    <row r="106" spans="1:5" x14ac:dyDescent="0.15">
      <c r="A106" s="49" t="s">
        <v>243</v>
      </c>
      <c r="B106" s="49" t="s">
        <v>244</v>
      </c>
      <c r="C106" s="49" t="s">
        <v>245</v>
      </c>
      <c r="D106" s="50">
        <v>1151.2</v>
      </c>
      <c r="E106" s="49" t="s">
        <v>36</v>
      </c>
    </row>
    <row r="107" spans="1:5" x14ac:dyDescent="0.15">
      <c r="A107" s="49" t="s">
        <v>1191</v>
      </c>
      <c r="B107" s="49" t="s">
        <v>246</v>
      </c>
      <c r="C107" s="49" t="s">
        <v>247</v>
      </c>
      <c r="D107" s="50">
        <v>926.3</v>
      </c>
      <c r="E107" s="49" t="s">
        <v>1163</v>
      </c>
    </row>
    <row r="108" spans="1:5" x14ac:dyDescent="0.15">
      <c r="A108" s="49" t="s">
        <v>1192</v>
      </c>
      <c r="B108" s="49" t="s">
        <v>248</v>
      </c>
      <c r="C108" s="49" t="s">
        <v>249</v>
      </c>
      <c r="D108" s="50">
        <v>926.3</v>
      </c>
      <c r="E108" s="49" t="s">
        <v>1163</v>
      </c>
    </row>
    <row r="109" spans="1:5" x14ac:dyDescent="0.15">
      <c r="A109" s="49" t="s">
        <v>250</v>
      </c>
      <c r="B109" s="49" t="s">
        <v>251</v>
      </c>
      <c r="C109" s="49" t="s">
        <v>252</v>
      </c>
      <c r="D109" s="50">
        <v>4125.8</v>
      </c>
      <c r="E109" s="49" t="s">
        <v>36</v>
      </c>
    </row>
    <row r="110" spans="1:5" x14ac:dyDescent="0.15">
      <c r="A110" s="49" t="s">
        <v>253</v>
      </c>
      <c r="B110" s="49" t="s">
        <v>254</v>
      </c>
      <c r="C110" s="49" t="s">
        <v>255</v>
      </c>
      <c r="D110" s="50">
        <v>4125.8</v>
      </c>
      <c r="E110" s="49" t="s">
        <v>36</v>
      </c>
    </row>
    <row r="111" spans="1:5" x14ac:dyDescent="0.15">
      <c r="A111" s="49" t="s">
        <v>853</v>
      </c>
      <c r="B111" s="49" t="s">
        <v>256</v>
      </c>
      <c r="C111" s="49" t="s">
        <v>257</v>
      </c>
      <c r="D111" s="50">
        <v>1112.3</v>
      </c>
      <c r="E111" s="49" t="s">
        <v>800</v>
      </c>
    </row>
    <row r="112" spans="1:5" x14ac:dyDescent="0.15">
      <c r="A112" s="49" t="s">
        <v>1020</v>
      </c>
      <c r="B112" s="49" t="s">
        <v>258</v>
      </c>
      <c r="C112" s="49" t="s">
        <v>259</v>
      </c>
      <c r="D112" s="50">
        <v>207.8</v>
      </c>
      <c r="E112" s="49" t="s">
        <v>1019</v>
      </c>
    </row>
    <row r="113" spans="1:5" x14ac:dyDescent="0.15">
      <c r="A113" s="49" t="s">
        <v>1193</v>
      </c>
      <c r="B113" s="49" t="s">
        <v>260</v>
      </c>
      <c r="C113" s="49" t="s">
        <v>261</v>
      </c>
      <c r="D113" s="50">
        <v>651.20000000000005</v>
      </c>
      <c r="E113" s="49" t="s">
        <v>1163</v>
      </c>
    </row>
    <row r="114" spans="1:5" x14ac:dyDescent="0.15">
      <c r="A114" s="49" t="s">
        <v>1038</v>
      </c>
      <c r="B114" s="49" t="s">
        <v>262</v>
      </c>
      <c r="C114" s="49" t="s">
        <v>263</v>
      </c>
      <c r="D114" s="50">
        <v>1101.3</v>
      </c>
      <c r="E114" s="49" t="s">
        <v>1029</v>
      </c>
    </row>
    <row r="115" spans="1:5" x14ac:dyDescent="0.15">
      <c r="A115" s="49" t="s">
        <v>1039</v>
      </c>
      <c r="B115" s="49" t="s">
        <v>264</v>
      </c>
      <c r="C115" s="49" t="s">
        <v>265</v>
      </c>
      <c r="D115" s="50">
        <v>1101.3</v>
      </c>
      <c r="E115" s="49" t="s">
        <v>1029</v>
      </c>
    </row>
    <row r="116" spans="1:5" x14ac:dyDescent="0.15">
      <c r="A116" s="49" t="s">
        <v>1194</v>
      </c>
      <c r="B116" s="49" t="s">
        <v>266</v>
      </c>
      <c r="C116" s="49" t="s">
        <v>267</v>
      </c>
      <c r="D116" s="50">
        <v>451.8</v>
      </c>
      <c r="E116" s="49" t="s">
        <v>1163</v>
      </c>
    </row>
    <row r="117" spans="1:5" x14ac:dyDescent="0.15">
      <c r="A117" s="49" t="s">
        <v>268</v>
      </c>
      <c r="B117" s="49" t="s">
        <v>269</v>
      </c>
      <c r="C117" s="49" t="s">
        <v>270</v>
      </c>
      <c r="D117" s="50">
        <v>701.5</v>
      </c>
      <c r="E117" s="49" t="s">
        <v>23</v>
      </c>
    </row>
    <row r="118" spans="1:5" x14ac:dyDescent="0.15">
      <c r="A118" s="49" t="s">
        <v>1195</v>
      </c>
      <c r="B118" s="49" t="s">
        <v>271</v>
      </c>
      <c r="C118" s="49" t="s">
        <v>272</v>
      </c>
      <c r="D118" s="50">
        <v>456.4</v>
      </c>
      <c r="E118" s="49" t="s">
        <v>1163</v>
      </c>
    </row>
    <row r="119" spans="1:5" x14ac:dyDescent="0.15">
      <c r="A119" s="49" t="s">
        <v>1196</v>
      </c>
      <c r="B119" s="49" t="s">
        <v>273</v>
      </c>
      <c r="C119" s="49" t="s">
        <v>274</v>
      </c>
      <c r="D119" s="50">
        <v>478.9</v>
      </c>
      <c r="E119" s="49" t="s">
        <v>1163</v>
      </c>
    </row>
    <row r="120" spans="1:5" x14ac:dyDescent="0.15">
      <c r="A120" s="49" t="s">
        <v>1040</v>
      </c>
      <c r="B120" s="49" t="s">
        <v>275</v>
      </c>
      <c r="C120" s="49" t="s">
        <v>276</v>
      </c>
      <c r="D120" s="50">
        <v>855.4</v>
      </c>
      <c r="E120" s="49" t="s">
        <v>1029</v>
      </c>
    </row>
    <row r="121" spans="1:5" x14ac:dyDescent="0.15">
      <c r="A121" s="49" t="s">
        <v>277</v>
      </c>
      <c r="B121" s="49" t="s">
        <v>278</v>
      </c>
      <c r="C121" s="49" t="s">
        <v>279</v>
      </c>
      <c r="D121" s="50">
        <v>1081.2</v>
      </c>
      <c r="E121" s="49" t="s">
        <v>23</v>
      </c>
    </row>
    <row r="122" spans="1:5" x14ac:dyDescent="0.15">
      <c r="A122" s="49" t="s">
        <v>1041</v>
      </c>
      <c r="B122" s="49" t="s">
        <v>280</v>
      </c>
      <c r="C122" s="49" t="s">
        <v>281</v>
      </c>
      <c r="D122" s="50">
        <v>905.9</v>
      </c>
      <c r="E122" s="49" t="s">
        <v>1029</v>
      </c>
    </row>
    <row r="123" spans="1:5" x14ac:dyDescent="0.15">
      <c r="A123" s="49" t="s">
        <v>1042</v>
      </c>
      <c r="B123" s="49" t="s">
        <v>282</v>
      </c>
      <c r="C123" s="49" t="s">
        <v>283</v>
      </c>
      <c r="D123" s="50">
        <v>1129.7</v>
      </c>
      <c r="E123" s="49" t="s">
        <v>1029</v>
      </c>
    </row>
    <row r="124" spans="1:5" x14ac:dyDescent="0.15">
      <c r="A124" s="49" t="s">
        <v>1197</v>
      </c>
      <c r="B124" s="49" t="s">
        <v>284</v>
      </c>
      <c r="C124" s="49" t="s">
        <v>285</v>
      </c>
      <c r="D124" s="50">
        <v>802.7</v>
      </c>
      <c r="E124" s="49" t="s">
        <v>1163</v>
      </c>
    </row>
    <row r="125" spans="1:5" x14ac:dyDescent="0.15">
      <c r="A125" s="49" t="s">
        <v>286</v>
      </c>
      <c r="B125" s="49" t="s">
        <v>287</v>
      </c>
      <c r="C125" s="49" t="s">
        <v>288</v>
      </c>
      <c r="D125" s="50">
        <v>1028.8</v>
      </c>
      <c r="E125" s="49" t="s">
        <v>23</v>
      </c>
    </row>
    <row r="126" spans="1:5" x14ac:dyDescent="0.15">
      <c r="A126" s="49" t="s">
        <v>1198</v>
      </c>
      <c r="B126" s="49" t="s">
        <v>289</v>
      </c>
      <c r="C126" s="49" t="s">
        <v>290</v>
      </c>
      <c r="D126" s="50">
        <v>846.6</v>
      </c>
      <c r="E126" s="49" t="s">
        <v>1163</v>
      </c>
    </row>
    <row r="127" spans="1:5" x14ac:dyDescent="0.15">
      <c r="A127" s="49" t="s">
        <v>1043</v>
      </c>
      <c r="B127" s="49" t="s">
        <v>291</v>
      </c>
      <c r="C127" s="49" t="s">
        <v>292</v>
      </c>
      <c r="D127" s="50">
        <v>1252.5</v>
      </c>
      <c r="E127" s="49" t="s">
        <v>1029</v>
      </c>
    </row>
    <row r="128" spans="1:5" x14ac:dyDescent="0.15">
      <c r="A128" s="49" t="s">
        <v>1199</v>
      </c>
      <c r="B128" s="49" t="s">
        <v>293</v>
      </c>
      <c r="C128" s="49" t="s">
        <v>294</v>
      </c>
      <c r="D128" s="50">
        <v>1453.5</v>
      </c>
      <c r="E128" s="49" t="s">
        <v>1163</v>
      </c>
    </row>
    <row r="129" spans="1:5" x14ac:dyDescent="0.15">
      <c r="A129" s="49" t="s">
        <v>1044</v>
      </c>
      <c r="B129" s="49" t="s">
        <v>295</v>
      </c>
      <c r="C129" s="49" t="s">
        <v>296</v>
      </c>
      <c r="D129" s="50">
        <v>1516.6</v>
      </c>
      <c r="E129" s="49" t="s">
        <v>1029</v>
      </c>
    </row>
    <row r="130" spans="1:5" x14ac:dyDescent="0.15">
      <c r="A130" s="49" t="s">
        <v>854</v>
      </c>
      <c r="B130" s="49" t="s">
        <v>297</v>
      </c>
      <c r="C130" s="49" t="s">
        <v>298</v>
      </c>
      <c r="D130" s="50">
        <v>37.9</v>
      </c>
      <c r="E130" s="49" t="s">
        <v>800</v>
      </c>
    </row>
    <row r="131" spans="1:5" x14ac:dyDescent="0.15">
      <c r="A131" s="49" t="s">
        <v>1200</v>
      </c>
      <c r="B131" s="49" t="s">
        <v>299</v>
      </c>
      <c r="C131" s="49" t="s">
        <v>300</v>
      </c>
      <c r="D131" s="50">
        <v>738.5</v>
      </c>
      <c r="E131" s="49" t="s">
        <v>1163</v>
      </c>
    </row>
    <row r="132" spans="1:5" x14ac:dyDescent="0.15">
      <c r="A132" s="49" t="s">
        <v>1201</v>
      </c>
      <c r="B132" s="49" t="s">
        <v>301</v>
      </c>
      <c r="C132" s="49" t="s">
        <v>302</v>
      </c>
      <c r="D132" s="50">
        <v>84.8</v>
      </c>
      <c r="E132" s="49" t="s">
        <v>1163</v>
      </c>
    </row>
    <row r="133" spans="1:5" x14ac:dyDescent="0.15">
      <c r="A133" s="49" t="s">
        <v>855</v>
      </c>
      <c r="B133" s="49" t="s">
        <v>303</v>
      </c>
      <c r="C133" s="49" t="s">
        <v>304</v>
      </c>
      <c r="D133" s="50">
        <v>626</v>
      </c>
      <c r="E133" s="49" t="s">
        <v>800</v>
      </c>
    </row>
    <row r="134" spans="1:5" x14ac:dyDescent="0.15">
      <c r="A134" s="49" t="s">
        <v>856</v>
      </c>
      <c r="B134" s="49" t="s">
        <v>305</v>
      </c>
      <c r="C134" s="49" t="s">
        <v>306</v>
      </c>
      <c r="D134" s="50">
        <v>626</v>
      </c>
      <c r="E134" s="49" t="s">
        <v>800</v>
      </c>
    </row>
    <row r="135" spans="1:5" x14ac:dyDescent="0.15">
      <c r="A135" s="49" t="s">
        <v>857</v>
      </c>
      <c r="B135" s="49" t="s">
        <v>307</v>
      </c>
      <c r="C135" s="49" t="s">
        <v>308</v>
      </c>
      <c r="D135" s="50">
        <v>661.6</v>
      </c>
      <c r="E135" s="49" t="s">
        <v>800</v>
      </c>
    </row>
    <row r="136" spans="1:5" x14ac:dyDescent="0.15">
      <c r="A136" s="49" t="s">
        <v>858</v>
      </c>
      <c r="B136" s="49" t="s">
        <v>309</v>
      </c>
      <c r="C136" s="49" t="s">
        <v>310</v>
      </c>
      <c r="D136" s="50">
        <v>661.6</v>
      </c>
      <c r="E136" s="49" t="s">
        <v>800</v>
      </c>
    </row>
    <row r="137" spans="1:5" x14ac:dyDescent="0.15">
      <c r="A137" s="49" t="s">
        <v>859</v>
      </c>
      <c r="B137" s="49" t="s">
        <v>311</v>
      </c>
      <c r="C137" s="49" t="s">
        <v>312</v>
      </c>
      <c r="D137" s="50">
        <v>796.2</v>
      </c>
      <c r="E137" s="49" t="s">
        <v>800</v>
      </c>
    </row>
    <row r="138" spans="1:5" x14ac:dyDescent="0.15">
      <c r="A138" s="49" t="s">
        <v>860</v>
      </c>
      <c r="B138" s="49" t="s">
        <v>313</v>
      </c>
      <c r="C138" s="49" t="s">
        <v>314</v>
      </c>
      <c r="D138" s="50">
        <v>796.2</v>
      </c>
      <c r="E138" s="49" t="s">
        <v>800</v>
      </c>
    </row>
    <row r="139" spans="1:5" x14ac:dyDescent="0.15">
      <c r="A139" s="49" t="s">
        <v>861</v>
      </c>
      <c r="B139" s="49" t="s">
        <v>315</v>
      </c>
      <c r="C139" s="49" t="s">
        <v>316</v>
      </c>
      <c r="D139" s="50">
        <v>1080</v>
      </c>
      <c r="E139" s="49" t="s">
        <v>800</v>
      </c>
    </row>
    <row r="140" spans="1:5" x14ac:dyDescent="0.15">
      <c r="A140" s="49" t="s">
        <v>862</v>
      </c>
      <c r="B140" s="49" t="s">
        <v>317</v>
      </c>
      <c r="C140" s="49" t="s">
        <v>318</v>
      </c>
      <c r="D140" s="50">
        <v>1114.5</v>
      </c>
      <c r="E140" s="49" t="s">
        <v>800</v>
      </c>
    </row>
    <row r="141" spans="1:5" x14ac:dyDescent="0.15">
      <c r="A141" s="49" t="s">
        <v>863</v>
      </c>
      <c r="B141" s="49" t="s">
        <v>319</v>
      </c>
      <c r="C141" s="49" t="s">
        <v>320</v>
      </c>
      <c r="D141" s="50">
        <v>1349.7</v>
      </c>
      <c r="E141" s="49" t="s">
        <v>800</v>
      </c>
    </row>
    <row r="142" spans="1:5" x14ac:dyDescent="0.15">
      <c r="A142" s="49" t="s">
        <v>864</v>
      </c>
      <c r="B142" s="49" t="s">
        <v>321</v>
      </c>
      <c r="C142" s="49" t="s">
        <v>322</v>
      </c>
      <c r="D142" s="50">
        <v>597.5</v>
      </c>
      <c r="E142" s="49" t="s">
        <v>800</v>
      </c>
    </row>
    <row r="143" spans="1:5" x14ac:dyDescent="0.15">
      <c r="A143" s="49" t="s">
        <v>865</v>
      </c>
      <c r="B143" s="49" t="s">
        <v>323</v>
      </c>
      <c r="C143" s="49" t="s">
        <v>324</v>
      </c>
      <c r="D143" s="50">
        <v>597.5</v>
      </c>
      <c r="E143" s="49" t="s">
        <v>800</v>
      </c>
    </row>
    <row r="144" spans="1:5" x14ac:dyDescent="0.15">
      <c r="A144" s="49" t="s">
        <v>1002</v>
      </c>
      <c r="B144" s="49" t="s">
        <v>1003</v>
      </c>
      <c r="C144" s="49" t="s">
        <v>1004</v>
      </c>
      <c r="D144" s="50">
        <v>1429</v>
      </c>
      <c r="E144" s="49" t="s">
        <v>1005</v>
      </c>
    </row>
    <row r="145" spans="1:5" x14ac:dyDescent="0.15">
      <c r="A145" s="49" t="s">
        <v>1202</v>
      </c>
      <c r="B145" s="49" t="s">
        <v>325</v>
      </c>
      <c r="C145" s="49" t="s">
        <v>326</v>
      </c>
      <c r="D145" s="50">
        <v>534.5</v>
      </c>
      <c r="E145" s="49" t="s">
        <v>1163</v>
      </c>
    </row>
    <row r="146" spans="1:5" x14ac:dyDescent="0.15">
      <c r="A146" s="49" t="s">
        <v>1203</v>
      </c>
      <c r="B146" s="49" t="s">
        <v>327</v>
      </c>
      <c r="C146" s="49" t="s">
        <v>328</v>
      </c>
      <c r="D146" s="50">
        <v>482.1</v>
      </c>
      <c r="E146" s="49" t="s">
        <v>1163</v>
      </c>
    </row>
    <row r="147" spans="1:5" x14ac:dyDescent="0.15">
      <c r="A147" s="49" t="s">
        <v>1204</v>
      </c>
      <c r="B147" s="49" t="s">
        <v>329</v>
      </c>
      <c r="C147" s="49" t="s">
        <v>330</v>
      </c>
      <c r="D147" s="50">
        <v>388.7</v>
      </c>
      <c r="E147" s="49" t="s">
        <v>1163</v>
      </c>
    </row>
    <row r="148" spans="1:5" x14ac:dyDescent="0.15">
      <c r="A148" s="49" t="s">
        <v>1045</v>
      </c>
      <c r="B148" s="49" t="s">
        <v>331</v>
      </c>
      <c r="C148" s="49" t="s">
        <v>332</v>
      </c>
      <c r="D148" s="50">
        <v>1407.7</v>
      </c>
      <c r="E148" s="49" t="s">
        <v>1029</v>
      </c>
    </row>
    <row r="149" spans="1:5" x14ac:dyDescent="0.15">
      <c r="A149" s="49" t="s">
        <v>1205</v>
      </c>
      <c r="B149" s="49" t="s">
        <v>333</v>
      </c>
      <c r="C149" s="49" t="s">
        <v>334</v>
      </c>
      <c r="D149" s="50">
        <v>1246.5999999999999</v>
      </c>
      <c r="E149" s="49" t="s">
        <v>1163</v>
      </c>
    </row>
    <row r="150" spans="1:5" x14ac:dyDescent="0.15">
      <c r="A150" s="49" t="s">
        <v>1206</v>
      </c>
      <c r="B150" s="49" t="s">
        <v>335</v>
      </c>
      <c r="C150" s="49" t="s">
        <v>336</v>
      </c>
      <c r="D150" s="50">
        <v>908.5</v>
      </c>
      <c r="E150" s="49" t="s">
        <v>1163</v>
      </c>
    </row>
    <row r="151" spans="1:5" x14ac:dyDescent="0.15">
      <c r="A151" s="49" t="s">
        <v>1207</v>
      </c>
      <c r="B151" s="49" t="s">
        <v>337</v>
      </c>
      <c r="C151" s="49" t="s">
        <v>338</v>
      </c>
      <c r="D151" s="50">
        <v>1116</v>
      </c>
      <c r="E151" s="49" t="s">
        <v>1163</v>
      </c>
    </row>
    <row r="152" spans="1:5" x14ac:dyDescent="0.15">
      <c r="A152" s="49" t="s">
        <v>1208</v>
      </c>
      <c r="B152" s="49" t="s">
        <v>339</v>
      </c>
      <c r="C152" s="49" t="s">
        <v>340</v>
      </c>
      <c r="D152" s="50">
        <v>801.8</v>
      </c>
      <c r="E152" s="49" t="s">
        <v>1163</v>
      </c>
    </row>
    <row r="153" spans="1:5" x14ac:dyDescent="0.15">
      <c r="A153" s="49" t="s">
        <v>1046</v>
      </c>
      <c r="B153" s="49" t="s">
        <v>341</v>
      </c>
      <c r="C153" s="49" t="s">
        <v>342</v>
      </c>
      <c r="D153" s="50">
        <v>1493</v>
      </c>
      <c r="E153" s="49" t="s">
        <v>1029</v>
      </c>
    </row>
    <row r="154" spans="1:5" x14ac:dyDescent="0.15">
      <c r="A154" s="49" t="s">
        <v>1209</v>
      </c>
      <c r="B154" s="49" t="s">
        <v>343</v>
      </c>
      <c r="C154" s="49" t="s">
        <v>344</v>
      </c>
      <c r="D154" s="50">
        <v>1532.1</v>
      </c>
      <c r="E154" s="49" t="s">
        <v>1163</v>
      </c>
    </row>
    <row r="155" spans="1:5" x14ac:dyDescent="0.15">
      <c r="A155" s="49" t="s">
        <v>866</v>
      </c>
      <c r="B155" s="49" t="s">
        <v>345</v>
      </c>
      <c r="C155" s="49" t="s">
        <v>346</v>
      </c>
      <c r="D155" s="50">
        <v>599</v>
      </c>
      <c r="E155" s="49" t="s">
        <v>800</v>
      </c>
    </row>
    <row r="156" spans="1:5" x14ac:dyDescent="0.15">
      <c r="A156" s="49" t="s">
        <v>1210</v>
      </c>
      <c r="B156" s="49" t="s">
        <v>347</v>
      </c>
      <c r="C156" s="49" t="s">
        <v>348</v>
      </c>
      <c r="D156" s="50">
        <v>438.8</v>
      </c>
      <c r="E156" s="49" t="s">
        <v>1163</v>
      </c>
    </row>
    <row r="157" spans="1:5" x14ac:dyDescent="0.15">
      <c r="A157" s="49" t="s">
        <v>1211</v>
      </c>
      <c r="B157" s="49" t="s">
        <v>349</v>
      </c>
      <c r="C157" s="49" t="s">
        <v>350</v>
      </c>
      <c r="D157" s="50">
        <v>614.79999999999995</v>
      </c>
      <c r="E157" s="49" t="s">
        <v>1163</v>
      </c>
    </row>
    <row r="158" spans="1:5" x14ac:dyDescent="0.15">
      <c r="A158" s="49" t="s">
        <v>1212</v>
      </c>
      <c r="B158" s="49" t="s">
        <v>351</v>
      </c>
      <c r="C158" s="49" t="s">
        <v>352</v>
      </c>
      <c r="D158" s="50">
        <v>609.6</v>
      </c>
      <c r="E158" s="49" t="s">
        <v>1163</v>
      </c>
    </row>
    <row r="159" spans="1:5" x14ac:dyDescent="0.15">
      <c r="A159" s="49" t="s">
        <v>867</v>
      </c>
      <c r="B159" s="49" t="s">
        <v>353</v>
      </c>
      <c r="C159" s="49" t="s">
        <v>354</v>
      </c>
      <c r="D159" s="50">
        <v>620.6</v>
      </c>
      <c r="E159" s="49" t="s">
        <v>800</v>
      </c>
    </row>
    <row r="160" spans="1:5" x14ac:dyDescent="0.15">
      <c r="A160" s="49" t="s">
        <v>1213</v>
      </c>
      <c r="B160" s="49" t="s">
        <v>355</v>
      </c>
      <c r="C160" s="49" t="s">
        <v>356</v>
      </c>
      <c r="D160" s="50">
        <v>85.8</v>
      </c>
      <c r="E160" s="49" t="s">
        <v>1163</v>
      </c>
    </row>
    <row r="161" spans="1:5" x14ac:dyDescent="0.15">
      <c r="A161" s="49" t="s">
        <v>1214</v>
      </c>
      <c r="B161" s="49" t="s">
        <v>357</v>
      </c>
      <c r="C161" s="49" t="s">
        <v>358</v>
      </c>
      <c r="D161" s="50">
        <v>763.5</v>
      </c>
      <c r="E161" s="49" t="s">
        <v>1163</v>
      </c>
    </row>
    <row r="162" spans="1:5" x14ac:dyDescent="0.15">
      <c r="A162" s="49" t="s">
        <v>868</v>
      </c>
      <c r="B162" s="49" t="s">
        <v>359</v>
      </c>
      <c r="C162" s="49" t="s">
        <v>360</v>
      </c>
      <c r="D162" s="50">
        <v>1622.1</v>
      </c>
      <c r="E162" s="49" t="s">
        <v>800</v>
      </c>
    </row>
    <row r="163" spans="1:5" x14ac:dyDescent="0.15">
      <c r="A163" s="49" t="s">
        <v>1215</v>
      </c>
      <c r="B163" s="49" t="s">
        <v>986</v>
      </c>
      <c r="C163" s="49" t="s">
        <v>987</v>
      </c>
      <c r="D163" s="50">
        <v>3069</v>
      </c>
      <c r="E163" s="49" t="s">
        <v>1163</v>
      </c>
    </row>
    <row r="164" spans="1:5" x14ac:dyDescent="0.15">
      <c r="A164" s="49" t="s">
        <v>869</v>
      </c>
      <c r="B164" s="49" t="s">
        <v>361</v>
      </c>
      <c r="C164" s="49" t="s">
        <v>362</v>
      </c>
      <c r="D164" s="50">
        <v>12719.7</v>
      </c>
      <c r="E164" s="49" t="s">
        <v>800</v>
      </c>
    </row>
    <row r="165" spans="1:5" x14ac:dyDescent="0.15">
      <c r="A165" s="49" t="s">
        <v>1216</v>
      </c>
      <c r="B165" s="49" t="s">
        <v>363</v>
      </c>
      <c r="C165" s="49" t="s">
        <v>364</v>
      </c>
      <c r="D165" s="50">
        <v>619.1</v>
      </c>
      <c r="E165" s="49" t="s">
        <v>1163</v>
      </c>
    </row>
    <row r="166" spans="1:5" x14ac:dyDescent="0.15">
      <c r="A166" s="49" t="s">
        <v>1217</v>
      </c>
      <c r="B166" s="49" t="s">
        <v>365</v>
      </c>
      <c r="C166" s="49" t="s">
        <v>366</v>
      </c>
      <c r="D166" s="50">
        <v>995.7</v>
      </c>
      <c r="E166" s="49" t="s">
        <v>1163</v>
      </c>
    </row>
    <row r="167" spans="1:5" x14ac:dyDescent="0.15">
      <c r="A167" s="49" t="s">
        <v>1047</v>
      </c>
      <c r="B167" s="49" t="s">
        <v>367</v>
      </c>
      <c r="C167" s="49" t="s">
        <v>368</v>
      </c>
      <c r="D167" s="50">
        <v>1441.1</v>
      </c>
      <c r="E167" s="49" t="s">
        <v>1029</v>
      </c>
    </row>
    <row r="168" spans="1:5" x14ac:dyDescent="0.15">
      <c r="A168" s="49" t="s">
        <v>1218</v>
      </c>
      <c r="B168" s="49" t="s">
        <v>369</v>
      </c>
      <c r="C168" s="49" t="s">
        <v>370</v>
      </c>
      <c r="D168" s="50">
        <v>1719</v>
      </c>
      <c r="E168" s="49" t="s">
        <v>1163</v>
      </c>
    </row>
    <row r="169" spans="1:5" x14ac:dyDescent="0.15">
      <c r="A169" s="49" t="s">
        <v>1219</v>
      </c>
      <c r="B169" s="49" t="s">
        <v>371</v>
      </c>
      <c r="C169" s="49" t="s">
        <v>372</v>
      </c>
      <c r="D169" s="50">
        <v>541.20000000000005</v>
      </c>
      <c r="E169" s="49" t="s">
        <v>1163</v>
      </c>
    </row>
    <row r="170" spans="1:5" x14ac:dyDescent="0.15">
      <c r="A170" s="49" t="s">
        <v>1220</v>
      </c>
      <c r="B170" s="49" t="s">
        <v>373</v>
      </c>
      <c r="C170" s="49" t="s">
        <v>374</v>
      </c>
      <c r="D170" s="50">
        <v>432.2</v>
      </c>
      <c r="E170" s="49" t="s">
        <v>1163</v>
      </c>
    </row>
    <row r="171" spans="1:5" x14ac:dyDescent="0.15">
      <c r="A171" s="49" t="s">
        <v>1221</v>
      </c>
      <c r="B171" s="49" t="s">
        <v>375</v>
      </c>
      <c r="C171" s="49" t="s">
        <v>376</v>
      </c>
      <c r="D171" s="50">
        <v>923.7</v>
      </c>
      <c r="E171" s="49" t="s">
        <v>1163</v>
      </c>
    </row>
    <row r="172" spans="1:5" x14ac:dyDescent="0.15">
      <c r="A172" s="49" t="s">
        <v>1048</v>
      </c>
      <c r="B172" s="49" t="s">
        <v>377</v>
      </c>
      <c r="C172" s="49" t="s">
        <v>378</v>
      </c>
      <c r="D172" s="50">
        <v>1357.4</v>
      </c>
      <c r="E172" s="49" t="s">
        <v>1029</v>
      </c>
    </row>
    <row r="173" spans="1:5" x14ac:dyDescent="0.15">
      <c r="A173" s="49" t="s">
        <v>1222</v>
      </c>
      <c r="B173" s="49" t="s">
        <v>379</v>
      </c>
      <c r="C173" s="49" t="s">
        <v>380</v>
      </c>
      <c r="D173" s="50">
        <v>986.7</v>
      </c>
      <c r="E173" s="49" t="s">
        <v>1163</v>
      </c>
    </row>
    <row r="174" spans="1:5" x14ac:dyDescent="0.15">
      <c r="A174" s="49" t="s">
        <v>1223</v>
      </c>
      <c r="B174" s="49" t="s">
        <v>381</v>
      </c>
      <c r="C174" s="49" t="s">
        <v>382</v>
      </c>
      <c r="D174" s="50">
        <v>1682.1</v>
      </c>
      <c r="E174" s="49" t="s">
        <v>1163</v>
      </c>
    </row>
    <row r="175" spans="1:5" x14ac:dyDescent="0.15">
      <c r="A175" s="49" t="s">
        <v>383</v>
      </c>
      <c r="B175" s="49" t="s">
        <v>384</v>
      </c>
      <c r="C175" s="49" t="s">
        <v>385</v>
      </c>
      <c r="D175" s="50">
        <v>1189</v>
      </c>
      <c r="E175" s="49" t="s">
        <v>32</v>
      </c>
    </row>
    <row r="176" spans="1:5" x14ac:dyDescent="0.15">
      <c r="A176" s="49" t="s">
        <v>1224</v>
      </c>
      <c r="B176" s="49" t="s">
        <v>386</v>
      </c>
      <c r="C176" s="49" t="s">
        <v>387</v>
      </c>
      <c r="D176" s="50">
        <v>936.9</v>
      </c>
      <c r="E176" s="49" t="s">
        <v>1163</v>
      </c>
    </row>
    <row r="177" spans="1:5" x14ac:dyDescent="0.15">
      <c r="A177" s="49" t="s">
        <v>1006</v>
      </c>
      <c r="B177" s="49" t="s">
        <v>1007</v>
      </c>
      <c r="C177" s="49" t="s">
        <v>1008</v>
      </c>
      <c r="D177" s="50">
        <v>1369</v>
      </c>
      <c r="E177" s="49" t="s">
        <v>1005</v>
      </c>
    </row>
    <row r="178" spans="1:5" x14ac:dyDescent="0.15">
      <c r="A178" s="49" t="s">
        <v>1225</v>
      </c>
      <c r="B178" s="49" t="s">
        <v>388</v>
      </c>
      <c r="C178" s="49" t="s">
        <v>389</v>
      </c>
      <c r="D178" s="50">
        <v>1184.9000000000001</v>
      </c>
      <c r="E178" s="49" t="s">
        <v>1163</v>
      </c>
    </row>
    <row r="179" spans="1:5" x14ac:dyDescent="0.15">
      <c r="A179" s="49" t="s">
        <v>1012</v>
      </c>
      <c r="B179" s="49" t="s">
        <v>1013</v>
      </c>
      <c r="C179" s="49" t="s">
        <v>1014</v>
      </c>
      <c r="D179" s="50">
        <v>1525</v>
      </c>
      <c r="E179" s="49" t="s">
        <v>1015</v>
      </c>
    </row>
    <row r="180" spans="1:5" x14ac:dyDescent="0.15">
      <c r="A180" s="49" t="s">
        <v>1016</v>
      </c>
      <c r="B180" s="49" t="s">
        <v>1017</v>
      </c>
      <c r="C180" s="49" t="s">
        <v>1018</v>
      </c>
      <c r="D180" s="50">
        <v>1700</v>
      </c>
      <c r="E180" s="49" t="s">
        <v>1015</v>
      </c>
    </row>
    <row r="181" spans="1:5" x14ac:dyDescent="0.15">
      <c r="A181" s="49" t="s">
        <v>1049</v>
      </c>
      <c r="B181" s="49" t="s">
        <v>390</v>
      </c>
      <c r="C181" s="49" t="s">
        <v>391</v>
      </c>
      <c r="D181" s="50">
        <v>1448</v>
      </c>
      <c r="E181" s="49" t="s">
        <v>1029</v>
      </c>
    </row>
    <row r="182" spans="1:5" x14ac:dyDescent="0.15">
      <c r="A182" s="49" t="s">
        <v>1050</v>
      </c>
      <c r="B182" s="49" t="s">
        <v>392</v>
      </c>
      <c r="C182" s="49" t="s">
        <v>393</v>
      </c>
      <c r="D182" s="50">
        <v>1448</v>
      </c>
      <c r="E182" s="49" t="s">
        <v>1029</v>
      </c>
    </row>
    <row r="183" spans="1:5" x14ac:dyDescent="0.15">
      <c r="A183" s="49" t="s">
        <v>1226</v>
      </c>
      <c r="B183" s="49" t="s">
        <v>394</v>
      </c>
      <c r="C183" s="49" t="s">
        <v>395</v>
      </c>
      <c r="D183" s="50">
        <v>1235.9000000000001</v>
      </c>
      <c r="E183" s="49" t="s">
        <v>1163</v>
      </c>
    </row>
    <row r="184" spans="1:5" x14ac:dyDescent="0.15">
      <c r="A184" s="49" t="s">
        <v>1227</v>
      </c>
      <c r="B184" s="49" t="s">
        <v>396</v>
      </c>
      <c r="C184" s="49" t="s">
        <v>397</v>
      </c>
      <c r="D184" s="50">
        <v>1235.9000000000001</v>
      </c>
      <c r="E184" s="49" t="s">
        <v>1163</v>
      </c>
    </row>
    <row r="185" spans="1:5" x14ac:dyDescent="0.15">
      <c r="A185" s="49" t="s">
        <v>1021</v>
      </c>
      <c r="B185" s="49" t="s">
        <v>398</v>
      </c>
      <c r="C185" s="49" t="s">
        <v>399</v>
      </c>
      <c r="D185" s="50">
        <v>104.8</v>
      </c>
      <c r="E185" s="49" t="s">
        <v>1019</v>
      </c>
    </row>
    <row r="186" spans="1:5" x14ac:dyDescent="0.15">
      <c r="A186" s="49" t="s">
        <v>1228</v>
      </c>
      <c r="B186" s="49" t="s">
        <v>400</v>
      </c>
      <c r="C186" s="49" t="s">
        <v>401</v>
      </c>
      <c r="D186" s="50">
        <v>124</v>
      </c>
      <c r="E186" s="49" t="s">
        <v>1163</v>
      </c>
    </row>
    <row r="187" spans="1:5" x14ac:dyDescent="0.15">
      <c r="A187" s="49" t="s">
        <v>1229</v>
      </c>
      <c r="B187" s="49" t="s">
        <v>402</v>
      </c>
      <c r="C187" s="49" t="s">
        <v>403</v>
      </c>
      <c r="D187" s="50">
        <v>108.6</v>
      </c>
      <c r="E187" s="49" t="s">
        <v>1163</v>
      </c>
    </row>
    <row r="188" spans="1:5" x14ac:dyDescent="0.15">
      <c r="A188" s="49" t="s">
        <v>1051</v>
      </c>
      <c r="B188" s="49" t="s">
        <v>1052</v>
      </c>
      <c r="C188" s="49" t="s">
        <v>1053</v>
      </c>
      <c r="D188" s="50">
        <v>618.9</v>
      </c>
      <c r="E188" s="49" t="s">
        <v>1054</v>
      </c>
    </row>
    <row r="189" spans="1:5" x14ac:dyDescent="0.15">
      <c r="A189" s="49" t="s">
        <v>1055</v>
      </c>
      <c r="B189" s="49" t="s">
        <v>1056</v>
      </c>
      <c r="C189" s="49" t="s">
        <v>1057</v>
      </c>
      <c r="D189" s="50">
        <v>994</v>
      </c>
      <c r="E189" s="49" t="s">
        <v>1054</v>
      </c>
    </row>
    <row r="190" spans="1:5" x14ac:dyDescent="0.15">
      <c r="A190" s="49" t="s">
        <v>1058</v>
      </c>
      <c r="B190" s="49" t="s">
        <v>1059</v>
      </c>
      <c r="C190" s="49" t="s">
        <v>1060</v>
      </c>
      <c r="D190" s="50">
        <v>1437.9</v>
      </c>
      <c r="E190" s="49" t="s">
        <v>1054</v>
      </c>
    </row>
    <row r="191" spans="1:5" x14ac:dyDescent="0.15">
      <c r="A191" s="49" t="s">
        <v>1061</v>
      </c>
      <c r="B191" s="49" t="s">
        <v>1062</v>
      </c>
      <c r="C191" s="49" t="s">
        <v>1063</v>
      </c>
      <c r="D191" s="50">
        <v>1713.8</v>
      </c>
      <c r="E191" s="49" t="s">
        <v>1054</v>
      </c>
    </row>
    <row r="192" spans="1:5" x14ac:dyDescent="0.15">
      <c r="A192" s="49" t="s">
        <v>1064</v>
      </c>
      <c r="B192" s="49" t="s">
        <v>1065</v>
      </c>
      <c r="C192" s="49" t="s">
        <v>1066</v>
      </c>
      <c r="D192" s="50">
        <v>985.8</v>
      </c>
      <c r="E192" s="49" t="s">
        <v>1054</v>
      </c>
    </row>
    <row r="193" spans="1:5" x14ac:dyDescent="0.15">
      <c r="A193" s="49" t="s">
        <v>1067</v>
      </c>
      <c r="B193" s="49" t="s">
        <v>1068</v>
      </c>
      <c r="C193" s="49" t="s">
        <v>1069</v>
      </c>
      <c r="D193" s="50">
        <v>1677.7</v>
      </c>
      <c r="E193" s="49" t="s">
        <v>1054</v>
      </c>
    </row>
    <row r="194" spans="1:5" x14ac:dyDescent="0.15">
      <c r="A194" s="49" t="s">
        <v>1070</v>
      </c>
      <c r="B194" s="49" t="s">
        <v>1071</v>
      </c>
      <c r="C194" s="49" t="s">
        <v>1072</v>
      </c>
      <c r="D194" s="50">
        <v>1184.5</v>
      </c>
      <c r="E194" s="49" t="s">
        <v>1054</v>
      </c>
    </row>
    <row r="195" spans="1:5" x14ac:dyDescent="0.15">
      <c r="A195" s="49" t="s">
        <v>1073</v>
      </c>
      <c r="B195" s="49" t="s">
        <v>1074</v>
      </c>
      <c r="C195" s="49" t="s">
        <v>1075</v>
      </c>
      <c r="D195" s="50">
        <v>541</v>
      </c>
      <c r="E195" s="49" t="s">
        <v>1054</v>
      </c>
    </row>
    <row r="196" spans="1:5" x14ac:dyDescent="0.15">
      <c r="A196" s="49" t="s">
        <v>1076</v>
      </c>
      <c r="B196" s="49" t="s">
        <v>1077</v>
      </c>
      <c r="C196" s="49" t="s">
        <v>1078</v>
      </c>
      <c r="D196" s="50">
        <v>432</v>
      </c>
      <c r="E196" s="49" t="s">
        <v>1054</v>
      </c>
    </row>
    <row r="197" spans="1:5" x14ac:dyDescent="0.15">
      <c r="A197" s="49" t="s">
        <v>1079</v>
      </c>
      <c r="B197" s="49" t="s">
        <v>1080</v>
      </c>
      <c r="C197" s="49" t="s">
        <v>1081</v>
      </c>
      <c r="D197" s="50">
        <v>922.5</v>
      </c>
      <c r="E197" s="49" t="s">
        <v>1054</v>
      </c>
    </row>
    <row r="198" spans="1:5" x14ac:dyDescent="0.15">
      <c r="A198" s="49" t="s">
        <v>1082</v>
      </c>
      <c r="B198" s="49" t="s">
        <v>1083</v>
      </c>
      <c r="C198" s="49" t="s">
        <v>1084</v>
      </c>
      <c r="D198" s="50">
        <v>936.5</v>
      </c>
      <c r="E198" s="49" t="s">
        <v>1054</v>
      </c>
    </row>
    <row r="199" spans="1:5" x14ac:dyDescent="0.15">
      <c r="A199" s="49" t="s">
        <v>1085</v>
      </c>
      <c r="B199" s="49" t="s">
        <v>1086</v>
      </c>
      <c r="C199" s="49" t="s">
        <v>1087</v>
      </c>
      <c r="D199" s="50">
        <v>1357.2</v>
      </c>
      <c r="E199" s="49" t="s">
        <v>1054</v>
      </c>
    </row>
    <row r="200" spans="1:5" x14ac:dyDescent="0.15">
      <c r="A200" s="49" t="s">
        <v>1088</v>
      </c>
      <c r="B200" s="49" t="s">
        <v>1089</v>
      </c>
      <c r="C200" s="49" t="s">
        <v>1090</v>
      </c>
      <c r="D200" s="50">
        <v>451.6</v>
      </c>
      <c r="E200" s="49" t="s">
        <v>1054</v>
      </c>
    </row>
    <row r="201" spans="1:5" x14ac:dyDescent="0.15">
      <c r="A201" s="49" t="s">
        <v>1091</v>
      </c>
      <c r="B201" s="49" t="s">
        <v>1092</v>
      </c>
      <c r="C201" s="49" t="s">
        <v>1093</v>
      </c>
      <c r="D201" s="50">
        <v>456.2</v>
      </c>
      <c r="E201" s="49" t="s">
        <v>1054</v>
      </c>
    </row>
    <row r="202" spans="1:5" x14ac:dyDescent="0.15">
      <c r="A202" s="49" t="s">
        <v>1094</v>
      </c>
      <c r="B202" s="49" t="s">
        <v>1095</v>
      </c>
      <c r="C202" s="49" t="s">
        <v>1096</v>
      </c>
      <c r="D202" s="50">
        <v>478.7</v>
      </c>
      <c r="E202" s="49" t="s">
        <v>1054</v>
      </c>
    </row>
    <row r="203" spans="1:5" x14ac:dyDescent="0.15">
      <c r="A203" s="49" t="s">
        <v>1097</v>
      </c>
      <c r="B203" s="49" t="s">
        <v>1098</v>
      </c>
      <c r="C203" s="49" t="s">
        <v>1099</v>
      </c>
      <c r="D203" s="50">
        <v>854.5</v>
      </c>
      <c r="E203" s="49" t="s">
        <v>1054</v>
      </c>
    </row>
    <row r="204" spans="1:5" x14ac:dyDescent="0.15">
      <c r="A204" s="49" t="s">
        <v>1100</v>
      </c>
      <c r="B204" s="49" t="s">
        <v>1101</v>
      </c>
      <c r="C204" s="49" t="s">
        <v>1102</v>
      </c>
      <c r="D204" s="50">
        <v>905</v>
      </c>
      <c r="E204" s="49" t="s">
        <v>1054</v>
      </c>
    </row>
    <row r="205" spans="1:5" x14ac:dyDescent="0.15">
      <c r="A205" s="49" t="s">
        <v>1103</v>
      </c>
      <c r="B205" s="49" t="s">
        <v>1104</v>
      </c>
      <c r="C205" s="49" t="s">
        <v>1105</v>
      </c>
      <c r="D205" s="50">
        <v>1129.3</v>
      </c>
      <c r="E205" s="49" t="s">
        <v>1054</v>
      </c>
    </row>
    <row r="206" spans="1:5" x14ac:dyDescent="0.15">
      <c r="A206" s="49" t="s">
        <v>1106</v>
      </c>
      <c r="B206" s="49" t="s">
        <v>1107</v>
      </c>
      <c r="C206" s="49" t="s">
        <v>1108</v>
      </c>
      <c r="D206" s="50">
        <v>801</v>
      </c>
      <c r="E206" s="49" t="s">
        <v>1054</v>
      </c>
    </row>
    <row r="207" spans="1:5" x14ac:dyDescent="0.15">
      <c r="A207" s="49" t="s">
        <v>1109</v>
      </c>
      <c r="B207" s="49" t="s">
        <v>1110</v>
      </c>
      <c r="C207" s="49" t="s">
        <v>1111</v>
      </c>
      <c r="D207" s="50">
        <v>844.9</v>
      </c>
      <c r="E207" s="49" t="s">
        <v>1054</v>
      </c>
    </row>
    <row r="208" spans="1:5" x14ac:dyDescent="0.15">
      <c r="A208" s="49" t="s">
        <v>1112</v>
      </c>
      <c r="B208" s="49" t="s">
        <v>1113</v>
      </c>
      <c r="C208" s="49" t="s">
        <v>1114</v>
      </c>
      <c r="D208" s="50">
        <v>1249.3</v>
      </c>
      <c r="E208" s="49" t="s">
        <v>1054</v>
      </c>
    </row>
    <row r="209" spans="1:5" x14ac:dyDescent="0.15">
      <c r="A209" s="49" t="s">
        <v>1115</v>
      </c>
      <c r="B209" s="49" t="s">
        <v>1116</v>
      </c>
      <c r="C209" s="49" t="s">
        <v>1117</v>
      </c>
      <c r="D209" s="50">
        <v>1446.7</v>
      </c>
      <c r="E209" s="49" t="s">
        <v>1054</v>
      </c>
    </row>
    <row r="210" spans="1:5" x14ac:dyDescent="0.15">
      <c r="A210" s="49" t="s">
        <v>1118</v>
      </c>
      <c r="B210" s="49" t="s">
        <v>1119</v>
      </c>
      <c r="C210" s="49" t="s">
        <v>1120</v>
      </c>
      <c r="D210" s="50">
        <v>1512.2</v>
      </c>
      <c r="E210" s="49" t="s">
        <v>1054</v>
      </c>
    </row>
    <row r="211" spans="1:5" x14ac:dyDescent="0.15">
      <c r="A211" s="49" t="s">
        <v>1230</v>
      </c>
      <c r="B211" s="49" t="s">
        <v>612</v>
      </c>
      <c r="C211" s="49" t="s">
        <v>613</v>
      </c>
      <c r="D211" s="50">
        <v>2289.6</v>
      </c>
      <c r="E211" s="49" t="s">
        <v>1163</v>
      </c>
    </row>
    <row r="212" spans="1:5" x14ac:dyDescent="0.15">
      <c r="A212" s="49" t="s">
        <v>1121</v>
      </c>
      <c r="B212" s="49" t="s">
        <v>614</v>
      </c>
      <c r="C212" s="49" t="s">
        <v>615</v>
      </c>
      <c r="D212" s="50">
        <v>4333.3</v>
      </c>
      <c r="E212" s="49" t="s">
        <v>1029</v>
      </c>
    </row>
    <row r="213" spans="1:5" x14ac:dyDescent="0.15">
      <c r="A213" s="49" t="s">
        <v>1231</v>
      </c>
      <c r="B213" s="49" t="s">
        <v>616</v>
      </c>
      <c r="C213" s="49" t="s">
        <v>617</v>
      </c>
      <c r="D213" s="50">
        <v>3022.2</v>
      </c>
      <c r="E213" s="49" t="s">
        <v>1163</v>
      </c>
    </row>
    <row r="214" spans="1:5" x14ac:dyDescent="0.15">
      <c r="A214" s="49" t="s">
        <v>1232</v>
      </c>
      <c r="B214" s="49" t="s">
        <v>618</v>
      </c>
      <c r="C214" s="49" t="s">
        <v>619</v>
      </c>
      <c r="D214" s="50">
        <v>3585.4</v>
      </c>
      <c r="E214" s="49" t="s">
        <v>1163</v>
      </c>
    </row>
    <row r="215" spans="1:5" x14ac:dyDescent="0.15">
      <c r="A215" s="49" t="s">
        <v>1233</v>
      </c>
      <c r="B215" s="49" t="s">
        <v>620</v>
      </c>
      <c r="C215" s="49" t="s">
        <v>621</v>
      </c>
      <c r="D215" s="50">
        <v>6170.7</v>
      </c>
      <c r="E215" s="49" t="s">
        <v>1163</v>
      </c>
    </row>
    <row r="216" spans="1:5" x14ac:dyDescent="0.15">
      <c r="A216" s="49" t="s">
        <v>1234</v>
      </c>
      <c r="B216" s="49" t="s">
        <v>622</v>
      </c>
      <c r="C216" s="49" t="s">
        <v>623</v>
      </c>
      <c r="D216" s="50">
        <v>2525.4</v>
      </c>
      <c r="E216" s="49" t="s">
        <v>1163</v>
      </c>
    </row>
    <row r="217" spans="1:5" x14ac:dyDescent="0.15">
      <c r="A217" s="49" t="s">
        <v>1235</v>
      </c>
      <c r="B217" s="49" t="s">
        <v>916</v>
      </c>
      <c r="C217" s="49" t="s">
        <v>917</v>
      </c>
      <c r="D217" s="50">
        <v>5462.9</v>
      </c>
      <c r="E217" s="49" t="s">
        <v>1163</v>
      </c>
    </row>
    <row r="218" spans="1:5" x14ac:dyDescent="0.15">
      <c r="A218" s="49" t="s">
        <v>1301</v>
      </c>
      <c r="B218" s="49" t="s">
        <v>997</v>
      </c>
      <c r="C218" s="49" t="s">
        <v>998</v>
      </c>
      <c r="D218" s="50">
        <v>119</v>
      </c>
      <c r="E218" s="49" t="s">
        <v>1300</v>
      </c>
    </row>
    <row r="219" spans="1:5" x14ac:dyDescent="0.15">
      <c r="A219" s="49" t="s">
        <v>1122</v>
      </c>
      <c r="B219" s="49" t="s">
        <v>404</v>
      </c>
      <c r="C219" s="49" t="s">
        <v>405</v>
      </c>
      <c r="D219" s="50">
        <v>1696.9</v>
      </c>
      <c r="E219" s="49" t="s">
        <v>1029</v>
      </c>
    </row>
    <row r="220" spans="1:5" x14ac:dyDescent="0.15">
      <c r="A220" s="49" t="s">
        <v>1123</v>
      </c>
      <c r="B220" s="49" t="s">
        <v>406</v>
      </c>
      <c r="C220" s="49" t="s">
        <v>407</v>
      </c>
      <c r="D220" s="50">
        <v>1696.9</v>
      </c>
      <c r="E220" s="49" t="s">
        <v>1029</v>
      </c>
    </row>
    <row r="221" spans="1:5" x14ac:dyDescent="0.15">
      <c r="A221" s="49" t="s">
        <v>1236</v>
      </c>
      <c r="B221" s="49" t="s">
        <v>408</v>
      </c>
      <c r="C221" s="49" t="s">
        <v>409</v>
      </c>
      <c r="D221" s="50">
        <v>720.6</v>
      </c>
      <c r="E221" s="49" t="s">
        <v>1163</v>
      </c>
    </row>
    <row r="222" spans="1:5" x14ac:dyDescent="0.15">
      <c r="A222" s="49" t="s">
        <v>1124</v>
      </c>
      <c r="B222" s="49" t="s">
        <v>410</v>
      </c>
      <c r="C222" s="49" t="s">
        <v>411</v>
      </c>
      <c r="D222" s="50">
        <v>639.1</v>
      </c>
      <c r="E222" s="49" t="s">
        <v>1029</v>
      </c>
    </row>
    <row r="223" spans="1:5" x14ac:dyDescent="0.15">
      <c r="A223" s="49" t="s">
        <v>1125</v>
      </c>
      <c r="B223" s="49" t="s">
        <v>412</v>
      </c>
      <c r="C223" s="49" t="s">
        <v>413</v>
      </c>
      <c r="D223" s="50">
        <v>634.29999999999995</v>
      </c>
      <c r="E223" s="49" t="s">
        <v>1029</v>
      </c>
    </row>
    <row r="224" spans="1:5" x14ac:dyDescent="0.15">
      <c r="A224" s="49" t="s">
        <v>1126</v>
      </c>
      <c r="B224" s="49" t="s">
        <v>414</v>
      </c>
      <c r="C224" s="49" t="s">
        <v>415</v>
      </c>
      <c r="D224" s="50">
        <v>1579.5</v>
      </c>
      <c r="E224" s="49" t="s">
        <v>1029</v>
      </c>
    </row>
    <row r="225" spans="1:5" x14ac:dyDescent="0.15">
      <c r="A225" s="49" t="s">
        <v>1237</v>
      </c>
      <c r="B225" s="49" t="s">
        <v>416</v>
      </c>
      <c r="C225" s="49" t="s">
        <v>417</v>
      </c>
      <c r="D225" s="50">
        <v>1187.9000000000001</v>
      </c>
      <c r="E225" s="49" t="s">
        <v>1163</v>
      </c>
    </row>
    <row r="226" spans="1:5" x14ac:dyDescent="0.15">
      <c r="A226" s="49" t="s">
        <v>1127</v>
      </c>
      <c r="B226" s="49" t="s">
        <v>418</v>
      </c>
      <c r="C226" s="49" t="s">
        <v>419</v>
      </c>
      <c r="D226" s="50">
        <v>1550.6</v>
      </c>
      <c r="E226" s="49" t="s">
        <v>1029</v>
      </c>
    </row>
    <row r="227" spans="1:5" x14ac:dyDescent="0.15">
      <c r="A227" s="49" t="s">
        <v>1128</v>
      </c>
      <c r="B227" s="49" t="s">
        <v>420</v>
      </c>
      <c r="C227" s="49" t="s">
        <v>421</v>
      </c>
      <c r="D227" s="50">
        <v>966</v>
      </c>
      <c r="E227" s="49" t="s">
        <v>1029</v>
      </c>
    </row>
    <row r="228" spans="1:5" x14ac:dyDescent="0.15">
      <c r="A228" s="49" t="s">
        <v>1129</v>
      </c>
      <c r="B228" s="49" t="s">
        <v>422</v>
      </c>
      <c r="C228" s="49" t="s">
        <v>423</v>
      </c>
      <c r="D228" s="50">
        <v>1883.6</v>
      </c>
      <c r="E228" s="49" t="s">
        <v>1029</v>
      </c>
    </row>
    <row r="229" spans="1:5" x14ac:dyDescent="0.15">
      <c r="A229" s="49" t="s">
        <v>1130</v>
      </c>
      <c r="B229" s="49" t="s">
        <v>424</v>
      </c>
      <c r="C229" s="49" t="s">
        <v>425</v>
      </c>
      <c r="D229" s="50">
        <v>2017.9</v>
      </c>
      <c r="E229" s="49" t="s">
        <v>1029</v>
      </c>
    </row>
    <row r="230" spans="1:5" x14ac:dyDescent="0.15">
      <c r="A230" s="49" t="s">
        <v>870</v>
      </c>
      <c r="B230" s="49" t="s">
        <v>426</v>
      </c>
      <c r="C230" s="49" t="s">
        <v>427</v>
      </c>
      <c r="D230" s="50">
        <v>799.9</v>
      </c>
      <c r="E230" s="49" t="s">
        <v>800</v>
      </c>
    </row>
    <row r="231" spans="1:5" x14ac:dyDescent="0.15">
      <c r="A231" s="49" t="s">
        <v>1022</v>
      </c>
      <c r="B231" s="49" t="s">
        <v>428</v>
      </c>
      <c r="C231" s="49" t="s">
        <v>429</v>
      </c>
      <c r="D231" s="50">
        <v>541.9</v>
      </c>
      <c r="E231" s="49" t="s">
        <v>1019</v>
      </c>
    </row>
    <row r="232" spans="1:5" x14ac:dyDescent="0.15">
      <c r="A232" s="49" t="s">
        <v>1131</v>
      </c>
      <c r="B232" s="49" t="s">
        <v>430</v>
      </c>
      <c r="C232" s="49" t="s">
        <v>431</v>
      </c>
      <c r="D232" s="50">
        <v>1379.5</v>
      </c>
      <c r="E232" s="49" t="s">
        <v>1029</v>
      </c>
    </row>
    <row r="233" spans="1:5" x14ac:dyDescent="0.15">
      <c r="A233" s="49" t="s">
        <v>871</v>
      </c>
      <c r="B233" s="49" t="s">
        <v>432</v>
      </c>
      <c r="C233" s="49" t="s">
        <v>433</v>
      </c>
      <c r="D233" s="50">
        <v>1713.2</v>
      </c>
      <c r="E233" s="49" t="s">
        <v>800</v>
      </c>
    </row>
    <row r="234" spans="1:5" x14ac:dyDescent="0.15">
      <c r="A234" s="49" t="s">
        <v>1023</v>
      </c>
      <c r="B234" s="49" t="s">
        <v>434</v>
      </c>
      <c r="C234" s="49" t="s">
        <v>435</v>
      </c>
      <c r="D234" s="50">
        <v>162.25</v>
      </c>
      <c r="E234" s="49" t="s">
        <v>1019</v>
      </c>
    </row>
    <row r="235" spans="1:5" x14ac:dyDescent="0.15">
      <c r="A235" s="49" t="s">
        <v>872</v>
      </c>
      <c r="B235" s="49" t="s">
        <v>436</v>
      </c>
      <c r="C235" s="49" t="s">
        <v>437</v>
      </c>
      <c r="D235" s="50">
        <v>391.5</v>
      </c>
      <c r="E235" s="49" t="s">
        <v>800</v>
      </c>
    </row>
    <row r="236" spans="1:5" x14ac:dyDescent="0.15">
      <c r="A236" s="49" t="s">
        <v>1238</v>
      </c>
      <c r="B236" s="49" t="s">
        <v>438</v>
      </c>
      <c r="C236" s="49" t="s">
        <v>439</v>
      </c>
      <c r="D236" s="50">
        <v>764</v>
      </c>
      <c r="E236" s="49" t="s">
        <v>1163</v>
      </c>
    </row>
    <row r="237" spans="1:5" x14ac:dyDescent="0.15">
      <c r="A237" s="49" t="s">
        <v>1239</v>
      </c>
      <c r="B237" s="49" t="s">
        <v>440</v>
      </c>
      <c r="C237" s="49" t="s">
        <v>441</v>
      </c>
      <c r="D237" s="50">
        <v>1287.9000000000001</v>
      </c>
      <c r="E237" s="49" t="s">
        <v>1163</v>
      </c>
    </row>
    <row r="238" spans="1:5" x14ac:dyDescent="0.15">
      <c r="A238" s="49" t="s">
        <v>1132</v>
      </c>
      <c r="B238" s="49" t="s">
        <v>442</v>
      </c>
      <c r="C238" s="49" t="s">
        <v>443</v>
      </c>
      <c r="D238" s="50">
        <v>2156.1</v>
      </c>
      <c r="E238" s="49" t="s">
        <v>1029</v>
      </c>
    </row>
    <row r="239" spans="1:5" x14ac:dyDescent="0.15">
      <c r="A239" s="49" t="s">
        <v>1133</v>
      </c>
      <c r="B239" s="49" t="s">
        <v>444</v>
      </c>
      <c r="C239" s="49" t="s">
        <v>445</v>
      </c>
      <c r="D239" s="50">
        <v>1301.2</v>
      </c>
      <c r="E239" s="49" t="s">
        <v>1029</v>
      </c>
    </row>
    <row r="240" spans="1:5" x14ac:dyDescent="0.15">
      <c r="A240" s="49" t="s">
        <v>1134</v>
      </c>
      <c r="B240" s="49" t="s">
        <v>446</v>
      </c>
      <c r="C240" s="49" t="s">
        <v>447</v>
      </c>
      <c r="D240" s="50">
        <v>2111.5</v>
      </c>
      <c r="E240" s="49" t="s">
        <v>1029</v>
      </c>
    </row>
    <row r="241" spans="1:5" x14ac:dyDescent="0.15">
      <c r="A241" s="49" t="s">
        <v>448</v>
      </c>
      <c r="B241" s="49" t="s">
        <v>449</v>
      </c>
      <c r="C241" s="49" t="s">
        <v>450</v>
      </c>
      <c r="D241" s="50">
        <v>1607.3</v>
      </c>
      <c r="E241" s="49" t="s">
        <v>32</v>
      </c>
    </row>
    <row r="242" spans="1:5" x14ac:dyDescent="0.15">
      <c r="A242" s="49" t="s">
        <v>1240</v>
      </c>
      <c r="B242" s="49" t="s">
        <v>451</v>
      </c>
      <c r="C242" s="49" t="s">
        <v>452</v>
      </c>
      <c r="D242" s="50">
        <v>643.6</v>
      </c>
      <c r="E242" s="49" t="s">
        <v>1163</v>
      </c>
    </row>
    <row r="243" spans="1:5" x14ac:dyDescent="0.15">
      <c r="A243" s="49" t="s">
        <v>1135</v>
      </c>
      <c r="B243" s="49" t="s">
        <v>453</v>
      </c>
      <c r="C243" s="49" t="s">
        <v>454</v>
      </c>
      <c r="D243" s="50">
        <v>607.4</v>
      </c>
      <c r="E243" s="49" t="s">
        <v>1029</v>
      </c>
    </row>
    <row r="244" spans="1:5" x14ac:dyDescent="0.15">
      <c r="A244" s="49" t="s">
        <v>1136</v>
      </c>
      <c r="B244" s="49" t="s">
        <v>455</v>
      </c>
      <c r="C244" s="49" t="s">
        <v>456</v>
      </c>
      <c r="D244" s="50">
        <v>1060.7</v>
      </c>
      <c r="E244" s="49" t="s">
        <v>1029</v>
      </c>
    </row>
    <row r="245" spans="1:5" x14ac:dyDescent="0.15">
      <c r="A245" s="49" t="s">
        <v>1137</v>
      </c>
      <c r="B245" s="49" t="s">
        <v>457</v>
      </c>
      <c r="C245" s="49" t="s">
        <v>458</v>
      </c>
      <c r="D245" s="50">
        <v>1209.3</v>
      </c>
      <c r="E245" s="49" t="s">
        <v>1029</v>
      </c>
    </row>
    <row r="246" spans="1:5" x14ac:dyDescent="0.15">
      <c r="A246" s="49" t="s">
        <v>1138</v>
      </c>
      <c r="B246" s="49" t="s">
        <v>459</v>
      </c>
      <c r="C246" s="49" t="s">
        <v>460</v>
      </c>
      <c r="D246" s="50">
        <v>1676.3</v>
      </c>
      <c r="E246" s="49" t="s">
        <v>1029</v>
      </c>
    </row>
    <row r="247" spans="1:5" x14ac:dyDescent="0.15">
      <c r="A247" s="49" t="s">
        <v>1139</v>
      </c>
      <c r="B247" s="49" t="s">
        <v>461</v>
      </c>
      <c r="C247" s="49" t="s">
        <v>462</v>
      </c>
      <c r="D247" s="50">
        <v>1536.4</v>
      </c>
      <c r="E247" s="49" t="s">
        <v>1029</v>
      </c>
    </row>
    <row r="248" spans="1:5" x14ac:dyDescent="0.15">
      <c r="A248" s="49" t="s">
        <v>873</v>
      </c>
      <c r="B248" s="49" t="s">
        <v>463</v>
      </c>
      <c r="C248" s="49" t="s">
        <v>464</v>
      </c>
      <c r="D248" s="50">
        <v>749.5</v>
      </c>
      <c r="E248" s="49" t="s">
        <v>800</v>
      </c>
    </row>
    <row r="249" spans="1:5" x14ac:dyDescent="0.15">
      <c r="A249" s="49" t="s">
        <v>874</v>
      </c>
      <c r="B249" s="49" t="s">
        <v>465</v>
      </c>
      <c r="C249" s="49" t="s">
        <v>466</v>
      </c>
      <c r="D249" s="50">
        <v>13069.3</v>
      </c>
      <c r="E249" s="49" t="s">
        <v>800</v>
      </c>
    </row>
    <row r="250" spans="1:5" x14ac:dyDescent="0.15">
      <c r="A250" s="49" t="s">
        <v>1024</v>
      </c>
      <c r="B250" s="49" t="s">
        <v>467</v>
      </c>
      <c r="C250" s="49" t="s">
        <v>468</v>
      </c>
      <c r="D250" s="50">
        <v>1735.3</v>
      </c>
      <c r="E250" s="49" t="s">
        <v>1019</v>
      </c>
    </row>
    <row r="251" spans="1:5" x14ac:dyDescent="0.15">
      <c r="A251" s="49" t="s">
        <v>1025</v>
      </c>
      <c r="B251" s="49" t="s">
        <v>469</v>
      </c>
      <c r="C251" s="49" t="s">
        <v>470</v>
      </c>
      <c r="D251" s="50">
        <v>1735.3</v>
      </c>
      <c r="E251" s="49" t="s">
        <v>1019</v>
      </c>
    </row>
    <row r="252" spans="1:5" x14ac:dyDescent="0.15">
      <c r="A252" s="49" t="s">
        <v>875</v>
      </c>
      <c r="B252" s="49" t="s">
        <v>471</v>
      </c>
      <c r="C252" s="49" t="s">
        <v>472</v>
      </c>
      <c r="D252" s="50">
        <v>1065.3</v>
      </c>
      <c r="E252" s="49" t="s">
        <v>800</v>
      </c>
    </row>
    <row r="253" spans="1:5" x14ac:dyDescent="0.15">
      <c r="A253" s="49" t="s">
        <v>876</v>
      </c>
      <c r="B253" s="49" t="s">
        <v>473</v>
      </c>
      <c r="C253" s="49" t="s">
        <v>474</v>
      </c>
      <c r="D253" s="50">
        <v>1065.3</v>
      </c>
      <c r="E253" s="49" t="s">
        <v>800</v>
      </c>
    </row>
    <row r="254" spans="1:5" x14ac:dyDescent="0.15">
      <c r="A254" s="49" t="s">
        <v>877</v>
      </c>
      <c r="B254" s="49" t="s">
        <v>475</v>
      </c>
      <c r="C254" s="49" t="s">
        <v>476</v>
      </c>
      <c r="D254" s="50">
        <v>1060.8</v>
      </c>
      <c r="E254" s="49" t="s">
        <v>800</v>
      </c>
    </row>
    <row r="255" spans="1:5" x14ac:dyDescent="0.15">
      <c r="A255" s="49" t="s">
        <v>878</v>
      </c>
      <c r="B255" s="49" t="s">
        <v>477</v>
      </c>
      <c r="C255" s="49" t="s">
        <v>478</v>
      </c>
      <c r="D255" s="50">
        <v>1060.8</v>
      </c>
      <c r="E255" s="49" t="s">
        <v>800</v>
      </c>
    </row>
    <row r="256" spans="1:5" x14ac:dyDescent="0.15">
      <c r="A256" s="49" t="s">
        <v>879</v>
      </c>
      <c r="B256" s="49" t="s">
        <v>479</v>
      </c>
      <c r="C256" s="49" t="s">
        <v>480</v>
      </c>
      <c r="D256" s="50">
        <v>1086.3</v>
      </c>
      <c r="E256" s="49" t="s">
        <v>800</v>
      </c>
    </row>
    <row r="257" spans="1:5" x14ac:dyDescent="0.15">
      <c r="A257" s="49" t="s">
        <v>880</v>
      </c>
      <c r="B257" s="49" t="s">
        <v>481</v>
      </c>
      <c r="C257" s="49" t="s">
        <v>482</v>
      </c>
      <c r="D257" s="50">
        <v>1086.3</v>
      </c>
      <c r="E257" s="49" t="s">
        <v>800</v>
      </c>
    </row>
    <row r="258" spans="1:5" x14ac:dyDescent="0.15">
      <c r="A258" s="49" t="s">
        <v>881</v>
      </c>
      <c r="B258" s="49" t="s">
        <v>483</v>
      </c>
      <c r="C258" s="49" t="s">
        <v>484</v>
      </c>
      <c r="D258" s="50">
        <v>924</v>
      </c>
      <c r="E258" s="49" t="s">
        <v>800</v>
      </c>
    </row>
    <row r="259" spans="1:5" x14ac:dyDescent="0.15">
      <c r="A259" s="49" t="s">
        <v>882</v>
      </c>
      <c r="B259" s="49" t="s">
        <v>485</v>
      </c>
      <c r="C259" s="49" t="s">
        <v>486</v>
      </c>
      <c r="D259" s="50">
        <v>924</v>
      </c>
      <c r="E259" s="49" t="s">
        <v>800</v>
      </c>
    </row>
    <row r="260" spans="1:5" x14ac:dyDescent="0.15">
      <c r="A260" s="49" t="s">
        <v>883</v>
      </c>
      <c r="B260" s="49" t="s">
        <v>487</v>
      </c>
      <c r="C260" s="49" t="s">
        <v>488</v>
      </c>
      <c r="D260" s="50">
        <v>1959</v>
      </c>
      <c r="E260" s="49" t="s">
        <v>800</v>
      </c>
    </row>
    <row r="261" spans="1:5" x14ac:dyDescent="0.15">
      <c r="A261" s="49" t="s">
        <v>884</v>
      </c>
      <c r="B261" s="49" t="s">
        <v>489</v>
      </c>
      <c r="C261" s="49" t="s">
        <v>490</v>
      </c>
      <c r="D261" s="50">
        <v>2069.1999999999998</v>
      </c>
      <c r="E261" s="49" t="s">
        <v>800</v>
      </c>
    </row>
    <row r="262" spans="1:5" x14ac:dyDescent="0.15">
      <c r="A262" s="49" t="s">
        <v>885</v>
      </c>
      <c r="B262" s="49" t="s">
        <v>491</v>
      </c>
      <c r="C262" s="49" t="s">
        <v>492</v>
      </c>
      <c r="D262" s="50">
        <v>2133.4</v>
      </c>
      <c r="E262" s="49" t="s">
        <v>800</v>
      </c>
    </row>
    <row r="263" spans="1:5" x14ac:dyDescent="0.15">
      <c r="A263" s="49" t="s">
        <v>1026</v>
      </c>
      <c r="B263" s="49" t="s">
        <v>707</v>
      </c>
      <c r="C263" s="49" t="s">
        <v>708</v>
      </c>
      <c r="D263" s="50">
        <v>412.9</v>
      </c>
      <c r="E263" s="49" t="s">
        <v>1019</v>
      </c>
    </row>
    <row r="264" spans="1:5" x14ac:dyDescent="0.15">
      <c r="A264" s="49" t="s">
        <v>1027</v>
      </c>
      <c r="B264" s="49" t="s">
        <v>709</v>
      </c>
      <c r="C264" s="49" t="s">
        <v>710</v>
      </c>
      <c r="D264" s="50">
        <v>934.8</v>
      </c>
      <c r="E264" s="49" t="s">
        <v>1019</v>
      </c>
    </row>
    <row r="265" spans="1:5" x14ac:dyDescent="0.15">
      <c r="A265" s="49" t="s">
        <v>1140</v>
      </c>
      <c r="B265" s="49" t="s">
        <v>711</v>
      </c>
      <c r="C265" s="49" t="s">
        <v>712</v>
      </c>
      <c r="D265" s="50">
        <v>1083.7</v>
      </c>
      <c r="E265" s="49" t="s">
        <v>1029</v>
      </c>
    </row>
    <row r="266" spans="1:5" x14ac:dyDescent="0.15">
      <c r="A266" s="49" t="s">
        <v>1028</v>
      </c>
      <c r="B266" s="49" t="s">
        <v>713</v>
      </c>
      <c r="C266" s="49" t="s">
        <v>714</v>
      </c>
      <c r="D266" s="50">
        <v>11696.9</v>
      </c>
      <c r="E266" s="49" t="s">
        <v>1019</v>
      </c>
    </row>
    <row r="267" spans="1:5" x14ac:dyDescent="0.15">
      <c r="A267" s="49" t="s">
        <v>1241</v>
      </c>
      <c r="B267" s="49" t="s">
        <v>715</v>
      </c>
      <c r="C267" s="49" t="s">
        <v>716</v>
      </c>
      <c r="D267" s="50">
        <v>1342.8</v>
      </c>
      <c r="E267" s="49" t="s">
        <v>1163</v>
      </c>
    </row>
    <row r="268" spans="1:5" x14ac:dyDescent="0.15">
      <c r="A268" s="49" t="s">
        <v>1242</v>
      </c>
      <c r="B268" s="49" t="s">
        <v>717</v>
      </c>
      <c r="C268" s="49" t="s">
        <v>718</v>
      </c>
      <c r="D268" s="50">
        <v>1342.8</v>
      </c>
      <c r="E268" s="49" t="s">
        <v>1163</v>
      </c>
    </row>
    <row r="269" spans="1:5" x14ac:dyDescent="0.15">
      <c r="A269" s="49" t="s">
        <v>1243</v>
      </c>
      <c r="B269" s="49" t="s">
        <v>719</v>
      </c>
      <c r="C269" s="49" t="s">
        <v>720</v>
      </c>
      <c r="D269" s="50">
        <v>1286.2</v>
      </c>
      <c r="E269" s="49" t="s">
        <v>1163</v>
      </c>
    </row>
    <row r="270" spans="1:5" x14ac:dyDescent="0.15">
      <c r="A270" s="49" t="s">
        <v>1244</v>
      </c>
      <c r="B270" s="49" t="s">
        <v>721</v>
      </c>
      <c r="C270" s="49" t="s">
        <v>722</v>
      </c>
      <c r="D270" s="50">
        <v>1286.2</v>
      </c>
      <c r="E270" s="49" t="s">
        <v>1163</v>
      </c>
    </row>
    <row r="271" spans="1:5" x14ac:dyDescent="0.15">
      <c r="A271" s="49" t="s">
        <v>1245</v>
      </c>
      <c r="B271" s="49" t="s">
        <v>723</v>
      </c>
      <c r="C271" s="49" t="s">
        <v>724</v>
      </c>
      <c r="D271" s="50">
        <v>1228.3</v>
      </c>
      <c r="E271" s="49" t="s">
        <v>1163</v>
      </c>
    </row>
    <row r="272" spans="1:5" x14ac:dyDescent="0.15">
      <c r="A272" s="49" t="s">
        <v>1246</v>
      </c>
      <c r="B272" s="49" t="s">
        <v>725</v>
      </c>
      <c r="C272" s="49" t="s">
        <v>726</v>
      </c>
      <c r="D272" s="50">
        <v>1228.3</v>
      </c>
      <c r="E272" s="49" t="s">
        <v>1163</v>
      </c>
    </row>
    <row r="273" spans="1:5" x14ac:dyDescent="0.15">
      <c r="A273" s="49" t="s">
        <v>1141</v>
      </c>
      <c r="B273" s="49" t="s">
        <v>727</v>
      </c>
      <c r="C273" s="49" t="s">
        <v>728</v>
      </c>
      <c r="D273" s="50">
        <v>1610.9</v>
      </c>
      <c r="E273" s="49" t="s">
        <v>1029</v>
      </c>
    </row>
    <row r="274" spans="1:5" x14ac:dyDescent="0.15">
      <c r="A274" s="49" t="s">
        <v>1142</v>
      </c>
      <c r="B274" s="49" t="s">
        <v>729</v>
      </c>
      <c r="C274" s="49" t="s">
        <v>730</v>
      </c>
      <c r="D274" s="50">
        <v>1610.9</v>
      </c>
      <c r="E274" s="49" t="s">
        <v>1029</v>
      </c>
    </row>
    <row r="275" spans="1:5" x14ac:dyDescent="0.15">
      <c r="A275" s="49" t="s">
        <v>1247</v>
      </c>
      <c r="B275" s="49" t="s">
        <v>731</v>
      </c>
      <c r="C275" s="49" t="s">
        <v>732</v>
      </c>
      <c r="D275" s="50">
        <v>2439.6</v>
      </c>
      <c r="E275" s="49" t="s">
        <v>1163</v>
      </c>
    </row>
    <row r="276" spans="1:5" x14ac:dyDescent="0.15">
      <c r="A276" s="49" t="s">
        <v>1248</v>
      </c>
      <c r="B276" s="49" t="s">
        <v>733</v>
      </c>
      <c r="C276" s="49" t="s">
        <v>734</v>
      </c>
      <c r="D276" s="50">
        <v>2468.5</v>
      </c>
      <c r="E276" s="49" t="s">
        <v>1163</v>
      </c>
    </row>
    <row r="277" spans="1:5" x14ac:dyDescent="0.15">
      <c r="A277" s="49" t="s">
        <v>1249</v>
      </c>
      <c r="B277" s="49" t="s">
        <v>735</v>
      </c>
      <c r="C277" s="49" t="s">
        <v>736</v>
      </c>
      <c r="D277" s="50">
        <v>2638.2</v>
      </c>
      <c r="E277" s="49" t="s">
        <v>1163</v>
      </c>
    </row>
    <row r="278" spans="1:5" x14ac:dyDescent="0.15">
      <c r="A278" s="49" t="s">
        <v>1250</v>
      </c>
      <c r="B278" s="49" t="s">
        <v>737</v>
      </c>
      <c r="C278" s="49" t="s">
        <v>738</v>
      </c>
      <c r="D278" s="50">
        <v>2864.2</v>
      </c>
      <c r="E278" s="49" t="s">
        <v>1163</v>
      </c>
    </row>
    <row r="279" spans="1:5" x14ac:dyDescent="0.15">
      <c r="A279" s="49" t="s">
        <v>1251</v>
      </c>
      <c r="B279" s="49" t="s">
        <v>739</v>
      </c>
      <c r="C279" s="49" t="s">
        <v>740</v>
      </c>
      <c r="D279" s="50">
        <v>2864.2</v>
      </c>
      <c r="E279" s="49" t="s">
        <v>1163</v>
      </c>
    </row>
    <row r="280" spans="1:5" x14ac:dyDescent="0.15">
      <c r="A280" s="49" t="s">
        <v>1252</v>
      </c>
      <c r="B280" s="49" t="s">
        <v>741</v>
      </c>
      <c r="C280" s="49" t="s">
        <v>742</v>
      </c>
      <c r="D280" s="50">
        <v>4903.8999999999996</v>
      </c>
      <c r="E280" s="49" t="s">
        <v>1163</v>
      </c>
    </row>
    <row r="281" spans="1:5" x14ac:dyDescent="0.15">
      <c r="A281" s="49" t="s">
        <v>1253</v>
      </c>
      <c r="B281" s="49" t="s">
        <v>644</v>
      </c>
      <c r="C281" s="49" t="s">
        <v>645</v>
      </c>
      <c r="D281" s="50">
        <v>954.7</v>
      </c>
      <c r="E281" s="49" t="s">
        <v>1163</v>
      </c>
    </row>
    <row r="282" spans="1:5" x14ac:dyDescent="0.15">
      <c r="A282" s="49" t="s">
        <v>1254</v>
      </c>
      <c r="B282" s="49" t="s">
        <v>646</v>
      </c>
      <c r="C282" s="49" t="s">
        <v>647</v>
      </c>
      <c r="D282" s="50">
        <v>11526.2</v>
      </c>
      <c r="E282" s="49" t="s">
        <v>1163</v>
      </c>
    </row>
    <row r="283" spans="1:5" x14ac:dyDescent="0.15">
      <c r="A283" s="49" t="s">
        <v>1255</v>
      </c>
      <c r="B283" s="49" t="s">
        <v>648</v>
      </c>
      <c r="C283" s="49" t="s">
        <v>649</v>
      </c>
      <c r="D283" s="50">
        <v>780.3</v>
      </c>
      <c r="E283" s="49" t="s">
        <v>1163</v>
      </c>
    </row>
    <row r="284" spans="1:5" x14ac:dyDescent="0.15">
      <c r="A284" s="49" t="s">
        <v>1256</v>
      </c>
      <c r="B284" s="49" t="s">
        <v>650</v>
      </c>
      <c r="C284" s="49" t="s">
        <v>651</v>
      </c>
      <c r="D284" s="50">
        <v>780.3</v>
      </c>
      <c r="E284" s="49" t="s">
        <v>1163</v>
      </c>
    </row>
    <row r="285" spans="1:5" x14ac:dyDescent="0.15">
      <c r="A285" s="49" t="s">
        <v>1257</v>
      </c>
      <c r="B285" s="49" t="s">
        <v>652</v>
      </c>
      <c r="C285" s="49" t="s">
        <v>653</v>
      </c>
      <c r="D285" s="50">
        <v>785.5</v>
      </c>
      <c r="E285" s="49" t="s">
        <v>1163</v>
      </c>
    </row>
    <row r="286" spans="1:5" x14ac:dyDescent="0.15">
      <c r="A286" s="49" t="s">
        <v>1258</v>
      </c>
      <c r="B286" s="49" t="s">
        <v>654</v>
      </c>
      <c r="C286" s="49" t="s">
        <v>655</v>
      </c>
      <c r="D286" s="50">
        <v>785.5</v>
      </c>
      <c r="E286" s="49" t="s">
        <v>1163</v>
      </c>
    </row>
    <row r="287" spans="1:5" x14ac:dyDescent="0.15">
      <c r="A287" s="49" t="s">
        <v>1259</v>
      </c>
      <c r="B287" s="49" t="s">
        <v>656</v>
      </c>
      <c r="C287" s="49" t="s">
        <v>657</v>
      </c>
      <c r="D287" s="50">
        <v>721.1</v>
      </c>
      <c r="E287" s="49" t="s">
        <v>1163</v>
      </c>
    </row>
    <row r="288" spans="1:5" x14ac:dyDescent="0.15">
      <c r="A288" s="49" t="s">
        <v>1260</v>
      </c>
      <c r="B288" s="49" t="s">
        <v>658</v>
      </c>
      <c r="C288" s="49" t="s">
        <v>659</v>
      </c>
      <c r="D288" s="50">
        <v>721.1</v>
      </c>
      <c r="E288" s="49" t="s">
        <v>1163</v>
      </c>
    </row>
    <row r="289" spans="1:5" x14ac:dyDescent="0.15">
      <c r="A289" s="49" t="s">
        <v>1143</v>
      </c>
      <c r="B289" s="49" t="s">
        <v>660</v>
      </c>
      <c r="C289" s="49" t="s">
        <v>661</v>
      </c>
      <c r="D289" s="50">
        <v>930.7</v>
      </c>
      <c r="E289" s="49" t="s">
        <v>1029</v>
      </c>
    </row>
    <row r="290" spans="1:5" x14ac:dyDescent="0.15">
      <c r="A290" s="49" t="s">
        <v>1144</v>
      </c>
      <c r="B290" s="49" t="s">
        <v>662</v>
      </c>
      <c r="C290" s="49" t="s">
        <v>663</v>
      </c>
      <c r="D290" s="50">
        <v>930.7</v>
      </c>
      <c r="E290" s="49" t="s">
        <v>1029</v>
      </c>
    </row>
    <row r="291" spans="1:5" x14ac:dyDescent="0.15">
      <c r="A291" s="49" t="s">
        <v>1261</v>
      </c>
      <c r="B291" s="49" t="s">
        <v>664</v>
      </c>
      <c r="C291" s="49" t="s">
        <v>665</v>
      </c>
      <c r="D291" s="50">
        <v>1388.1</v>
      </c>
      <c r="E291" s="49" t="s">
        <v>1163</v>
      </c>
    </row>
    <row r="292" spans="1:5" x14ac:dyDescent="0.15">
      <c r="A292" s="49" t="s">
        <v>1262</v>
      </c>
      <c r="B292" s="49" t="s">
        <v>666</v>
      </c>
      <c r="C292" s="49" t="s">
        <v>667</v>
      </c>
      <c r="D292" s="50">
        <v>1430.5</v>
      </c>
      <c r="E292" s="49" t="s">
        <v>1163</v>
      </c>
    </row>
    <row r="293" spans="1:5" x14ac:dyDescent="0.15">
      <c r="A293" s="49" t="s">
        <v>1263</v>
      </c>
      <c r="B293" s="49" t="s">
        <v>668</v>
      </c>
      <c r="C293" s="49" t="s">
        <v>669</v>
      </c>
      <c r="D293" s="50">
        <v>1622.7</v>
      </c>
      <c r="E293" s="49" t="s">
        <v>1163</v>
      </c>
    </row>
    <row r="294" spans="1:5" x14ac:dyDescent="0.15">
      <c r="A294" s="49" t="s">
        <v>1264</v>
      </c>
      <c r="B294" s="49" t="s">
        <v>670</v>
      </c>
      <c r="C294" s="49" t="s">
        <v>671</v>
      </c>
      <c r="D294" s="50">
        <v>812.5</v>
      </c>
      <c r="E294" s="49" t="s">
        <v>1163</v>
      </c>
    </row>
    <row r="295" spans="1:5" x14ac:dyDescent="0.15">
      <c r="A295" s="49" t="s">
        <v>1265</v>
      </c>
      <c r="B295" s="49" t="s">
        <v>743</v>
      </c>
      <c r="C295" s="49" t="s">
        <v>744</v>
      </c>
      <c r="D295" s="50">
        <v>1323.6</v>
      </c>
      <c r="E295" s="49" t="s">
        <v>1163</v>
      </c>
    </row>
    <row r="296" spans="1:5" x14ac:dyDescent="0.15">
      <c r="A296" s="49" t="s">
        <v>1302</v>
      </c>
      <c r="B296" s="49" t="s">
        <v>672</v>
      </c>
      <c r="C296" s="49" t="s">
        <v>673</v>
      </c>
      <c r="D296" s="50">
        <v>28</v>
      </c>
      <c r="E296" s="49" t="s">
        <v>1300</v>
      </c>
    </row>
    <row r="297" spans="1:5" x14ac:dyDescent="0.15">
      <c r="A297" s="49" t="s">
        <v>1266</v>
      </c>
      <c r="B297" s="49" t="s">
        <v>908</v>
      </c>
      <c r="C297" s="49" t="s">
        <v>912</v>
      </c>
      <c r="D297" s="50">
        <v>4717.3</v>
      </c>
      <c r="E297" s="49" t="s">
        <v>1163</v>
      </c>
    </row>
    <row r="298" spans="1:5" x14ac:dyDescent="0.15">
      <c r="A298" s="49" t="s">
        <v>1145</v>
      </c>
      <c r="B298" s="49" t="s">
        <v>909</v>
      </c>
      <c r="C298" s="49" t="s">
        <v>913</v>
      </c>
      <c r="D298" s="50">
        <v>8251.2999999999993</v>
      </c>
      <c r="E298" s="49" t="s">
        <v>1029</v>
      </c>
    </row>
    <row r="299" spans="1:5" x14ac:dyDescent="0.15">
      <c r="A299" s="49" t="s">
        <v>1267</v>
      </c>
      <c r="B299" s="49" t="s">
        <v>910</v>
      </c>
      <c r="C299" s="49" t="s">
        <v>914</v>
      </c>
      <c r="D299" s="50">
        <v>2641.2</v>
      </c>
      <c r="E299" s="49" t="s">
        <v>1163</v>
      </c>
    </row>
    <row r="300" spans="1:5" x14ac:dyDescent="0.15">
      <c r="A300" s="49" t="s">
        <v>1268</v>
      </c>
      <c r="B300" s="49" t="s">
        <v>911</v>
      </c>
      <c r="C300" s="49" t="s">
        <v>915</v>
      </c>
      <c r="D300" s="50">
        <v>4754.8999999999996</v>
      </c>
      <c r="E300" s="49" t="s">
        <v>1163</v>
      </c>
    </row>
    <row r="301" spans="1:5" x14ac:dyDescent="0.15">
      <c r="A301" s="49" t="s">
        <v>993</v>
      </c>
      <c r="B301" s="49" t="s">
        <v>994</v>
      </c>
      <c r="C301" s="49" t="s">
        <v>995</v>
      </c>
      <c r="D301" s="50">
        <v>3535</v>
      </c>
      <c r="E301" s="49" t="s">
        <v>996</v>
      </c>
    </row>
    <row r="302" spans="1:5" x14ac:dyDescent="0.15">
      <c r="A302" s="49" t="s">
        <v>1009</v>
      </c>
      <c r="B302" s="49" t="s">
        <v>1010</v>
      </c>
      <c r="C302" s="49" t="s">
        <v>1011</v>
      </c>
      <c r="D302" s="50">
        <v>1441</v>
      </c>
      <c r="E302" s="49" t="s">
        <v>1005</v>
      </c>
    </row>
    <row r="303" spans="1:5" x14ac:dyDescent="0.15">
      <c r="A303" s="49" t="s">
        <v>1146</v>
      </c>
      <c r="B303" s="49" t="s">
        <v>1147</v>
      </c>
      <c r="C303" s="49" t="s">
        <v>1148</v>
      </c>
      <c r="D303" s="50">
        <v>2137.5</v>
      </c>
      <c r="E303" s="49" t="s">
        <v>1054</v>
      </c>
    </row>
    <row r="304" spans="1:5" x14ac:dyDescent="0.15">
      <c r="A304" s="49" t="s">
        <v>1149</v>
      </c>
      <c r="B304" s="49" t="s">
        <v>1150</v>
      </c>
      <c r="C304" s="49" t="s">
        <v>1151</v>
      </c>
      <c r="D304" s="50">
        <v>2237.5</v>
      </c>
      <c r="E304" s="49" t="s">
        <v>1054</v>
      </c>
    </row>
    <row r="305" spans="1:5" x14ac:dyDescent="0.15">
      <c r="A305" s="49" t="s">
        <v>1152</v>
      </c>
      <c r="B305" s="49" t="s">
        <v>1153</v>
      </c>
      <c r="C305" s="49" t="s">
        <v>1154</v>
      </c>
      <c r="D305" s="50">
        <v>5253.9</v>
      </c>
      <c r="E305" s="49" t="s">
        <v>1054</v>
      </c>
    </row>
    <row r="306" spans="1:5" x14ac:dyDescent="0.15">
      <c r="A306" s="49" t="s">
        <v>1155</v>
      </c>
      <c r="B306" s="49" t="s">
        <v>1156</v>
      </c>
      <c r="C306" s="49" t="s">
        <v>1157</v>
      </c>
      <c r="D306" s="50">
        <v>5933.9</v>
      </c>
      <c r="E306" s="49" t="s">
        <v>1054</v>
      </c>
    </row>
    <row r="307" spans="1:5" x14ac:dyDescent="0.15">
      <c r="A307" s="49" t="s">
        <v>1269</v>
      </c>
      <c r="B307" s="49" t="s">
        <v>749</v>
      </c>
      <c r="C307" s="49" t="s">
        <v>750</v>
      </c>
      <c r="D307" s="50">
        <v>414.8</v>
      </c>
      <c r="E307" s="49" t="s">
        <v>1163</v>
      </c>
    </row>
    <row r="308" spans="1:5" x14ac:dyDescent="0.15">
      <c r="A308" s="49" t="s">
        <v>886</v>
      </c>
      <c r="B308" s="49" t="s">
        <v>493</v>
      </c>
      <c r="C308" s="49" t="s">
        <v>494</v>
      </c>
      <c r="D308" s="50">
        <v>427.2</v>
      </c>
      <c r="E308" s="49" t="s">
        <v>800</v>
      </c>
    </row>
    <row r="309" spans="1:5" x14ac:dyDescent="0.15">
      <c r="A309" s="49" t="s">
        <v>887</v>
      </c>
      <c r="B309" s="49" t="s">
        <v>495</v>
      </c>
      <c r="C309" s="49" t="s">
        <v>496</v>
      </c>
      <c r="D309" s="50">
        <v>436.8</v>
      </c>
      <c r="E309" s="49" t="s">
        <v>800</v>
      </c>
    </row>
    <row r="310" spans="1:5" x14ac:dyDescent="0.15">
      <c r="A310" s="49" t="s">
        <v>888</v>
      </c>
      <c r="B310" s="49" t="s">
        <v>497</v>
      </c>
      <c r="C310" s="49" t="s">
        <v>498</v>
      </c>
      <c r="D310" s="50">
        <v>492.3</v>
      </c>
      <c r="E310" s="49" t="s">
        <v>800</v>
      </c>
    </row>
    <row r="311" spans="1:5" x14ac:dyDescent="0.15">
      <c r="A311" s="49" t="s">
        <v>889</v>
      </c>
      <c r="B311" s="49" t="s">
        <v>499</v>
      </c>
      <c r="C311" s="49" t="s">
        <v>500</v>
      </c>
      <c r="D311" s="50">
        <v>448.9</v>
      </c>
      <c r="E311" s="49" t="s">
        <v>800</v>
      </c>
    </row>
    <row r="312" spans="1:5" x14ac:dyDescent="0.15">
      <c r="A312" s="49" t="s">
        <v>890</v>
      </c>
      <c r="B312" s="49" t="s">
        <v>501</v>
      </c>
      <c r="C312" s="49" t="s">
        <v>502</v>
      </c>
      <c r="D312" s="50">
        <v>539.29999999999995</v>
      </c>
      <c r="E312" s="49" t="s">
        <v>800</v>
      </c>
    </row>
    <row r="313" spans="1:5" x14ac:dyDescent="0.15">
      <c r="A313" s="49" t="s">
        <v>891</v>
      </c>
      <c r="B313" s="49" t="s">
        <v>503</v>
      </c>
      <c r="C313" s="49" t="s">
        <v>504</v>
      </c>
      <c r="D313" s="50">
        <v>379.9</v>
      </c>
      <c r="E313" s="49" t="s">
        <v>800</v>
      </c>
    </row>
    <row r="314" spans="1:5" x14ac:dyDescent="0.15">
      <c r="A314" s="49" t="s">
        <v>892</v>
      </c>
      <c r="B314" s="49" t="s">
        <v>505</v>
      </c>
      <c r="C314" s="49" t="s">
        <v>506</v>
      </c>
      <c r="D314" s="50">
        <v>683.8</v>
      </c>
      <c r="E314" s="49" t="s">
        <v>800</v>
      </c>
    </row>
    <row r="315" spans="1:5" x14ac:dyDescent="0.15">
      <c r="A315" s="49" t="s">
        <v>893</v>
      </c>
      <c r="B315" s="49" t="s">
        <v>507</v>
      </c>
      <c r="C315" s="49" t="s">
        <v>508</v>
      </c>
      <c r="D315" s="50">
        <v>761.6</v>
      </c>
      <c r="E315" s="49" t="s">
        <v>800</v>
      </c>
    </row>
    <row r="316" spans="1:5" x14ac:dyDescent="0.15">
      <c r="A316" s="49" t="s">
        <v>894</v>
      </c>
      <c r="B316" s="49" t="s">
        <v>509</v>
      </c>
      <c r="C316" s="49" t="s">
        <v>510</v>
      </c>
      <c r="D316" s="50">
        <v>851.9</v>
      </c>
      <c r="E316" s="49" t="s">
        <v>800</v>
      </c>
    </row>
    <row r="317" spans="1:5" x14ac:dyDescent="0.15">
      <c r="A317" s="49" t="s">
        <v>895</v>
      </c>
      <c r="B317" s="49" t="s">
        <v>511</v>
      </c>
      <c r="C317" s="49" t="s">
        <v>512</v>
      </c>
      <c r="D317" s="50">
        <v>1140.2</v>
      </c>
      <c r="E317" s="49" t="s">
        <v>800</v>
      </c>
    </row>
    <row r="318" spans="1:5" x14ac:dyDescent="0.15">
      <c r="A318" s="49" t="s">
        <v>896</v>
      </c>
      <c r="B318" s="49" t="s">
        <v>513</v>
      </c>
      <c r="C318" s="49" t="s">
        <v>514</v>
      </c>
      <c r="D318" s="50">
        <v>1222.8</v>
      </c>
      <c r="E318" s="49" t="s">
        <v>800</v>
      </c>
    </row>
    <row r="319" spans="1:5" x14ac:dyDescent="0.15">
      <c r="A319" s="49" t="s">
        <v>897</v>
      </c>
      <c r="B319" s="49" t="s">
        <v>515</v>
      </c>
      <c r="C319" s="49" t="s">
        <v>516</v>
      </c>
      <c r="D319" s="50">
        <v>507.3</v>
      </c>
      <c r="E319" s="49" t="s">
        <v>800</v>
      </c>
    </row>
    <row r="320" spans="1:5" x14ac:dyDescent="0.15">
      <c r="A320" s="49" t="s">
        <v>898</v>
      </c>
      <c r="B320" s="49" t="s">
        <v>517</v>
      </c>
      <c r="C320" s="49" t="s">
        <v>518</v>
      </c>
      <c r="D320" s="50">
        <v>527.4</v>
      </c>
      <c r="E320" s="49" t="s">
        <v>800</v>
      </c>
    </row>
    <row r="321" spans="1:5" x14ac:dyDescent="0.15">
      <c r="A321" s="49" t="s">
        <v>899</v>
      </c>
      <c r="B321" s="49" t="s">
        <v>519</v>
      </c>
      <c r="C321" s="49" t="s">
        <v>520</v>
      </c>
      <c r="D321" s="50">
        <v>513.20000000000005</v>
      </c>
      <c r="E321" s="49" t="s">
        <v>800</v>
      </c>
    </row>
    <row r="322" spans="1:5" x14ac:dyDescent="0.15">
      <c r="A322" s="49" t="s">
        <v>900</v>
      </c>
      <c r="B322" s="49" t="s">
        <v>521</v>
      </c>
      <c r="C322" s="49" t="s">
        <v>522</v>
      </c>
      <c r="D322" s="50">
        <v>339.9</v>
      </c>
      <c r="E322" s="49" t="s">
        <v>800</v>
      </c>
    </row>
    <row r="323" spans="1:5" x14ac:dyDescent="0.15">
      <c r="A323" s="49" t="s">
        <v>523</v>
      </c>
      <c r="B323" s="49" t="s">
        <v>524</v>
      </c>
      <c r="C323" s="49" t="s">
        <v>525</v>
      </c>
      <c r="D323" s="50">
        <v>323.3</v>
      </c>
      <c r="E323" s="49" t="s">
        <v>32</v>
      </c>
    </row>
    <row r="324" spans="1:5" x14ac:dyDescent="0.15">
      <c r="A324" s="49" t="s">
        <v>901</v>
      </c>
      <c r="B324" s="49" t="s">
        <v>526</v>
      </c>
      <c r="C324" s="49" t="s">
        <v>527</v>
      </c>
      <c r="D324" s="50">
        <v>256.60000000000002</v>
      </c>
      <c r="E324" s="49" t="s">
        <v>800</v>
      </c>
    </row>
    <row r="325" spans="1:5" x14ac:dyDescent="0.15">
      <c r="A325" s="49" t="s">
        <v>902</v>
      </c>
      <c r="B325" s="49" t="s">
        <v>528</v>
      </c>
      <c r="C325" s="49" t="s">
        <v>529</v>
      </c>
      <c r="D325" s="50">
        <v>354.9</v>
      </c>
      <c r="E325" s="49" t="s">
        <v>800</v>
      </c>
    </row>
    <row r="326" spans="1:5" x14ac:dyDescent="0.15">
      <c r="A326" s="49" t="s">
        <v>530</v>
      </c>
      <c r="B326" s="49" t="s">
        <v>531</v>
      </c>
      <c r="C326" s="49" t="s">
        <v>532</v>
      </c>
      <c r="D326" s="50">
        <v>66.8</v>
      </c>
      <c r="E326" s="49" t="s">
        <v>32</v>
      </c>
    </row>
    <row r="327" spans="1:5" x14ac:dyDescent="0.15">
      <c r="A327" s="49" t="s">
        <v>903</v>
      </c>
      <c r="B327" s="49" t="s">
        <v>533</v>
      </c>
      <c r="C327" s="49" t="s">
        <v>534</v>
      </c>
      <c r="D327" s="50">
        <v>489.8</v>
      </c>
      <c r="E327" s="49" t="s">
        <v>800</v>
      </c>
    </row>
    <row r="328" spans="1:5" x14ac:dyDescent="0.15">
      <c r="A328" s="49" t="s">
        <v>904</v>
      </c>
      <c r="B328" s="49" t="s">
        <v>535</v>
      </c>
      <c r="C328" s="49" t="s">
        <v>536</v>
      </c>
      <c r="D328" s="50">
        <v>713.3</v>
      </c>
      <c r="E328" s="49" t="s">
        <v>800</v>
      </c>
    </row>
    <row r="329" spans="1:5" x14ac:dyDescent="0.15">
      <c r="A329" s="49" t="s">
        <v>905</v>
      </c>
      <c r="B329" s="49" t="s">
        <v>537</v>
      </c>
      <c r="C329" s="49" t="s">
        <v>538</v>
      </c>
      <c r="D329" s="50">
        <v>1098.2</v>
      </c>
      <c r="E329" s="49" t="s">
        <v>800</v>
      </c>
    </row>
    <row r="330" spans="1:5" x14ac:dyDescent="0.15">
      <c r="A330" s="49" t="s">
        <v>906</v>
      </c>
      <c r="B330" s="49" t="s">
        <v>539</v>
      </c>
      <c r="C330" s="49" t="s">
        <v>540</v>
      </c>
      <c r="D330" s="50">
        <v>1429.7</v>
      </c>
      <c r="E330" s="49" t="s">
        <v>800</v>
      </c>
    </row>
    <row r="331" spans="1:5" x14ac:dyDescent="0.15">
      <c r="A331" s="49" t="s">
        <v>907</v>
      </c>
      <c r="B331" s="49" t="s">
        <v>541</v>
      </c>
      <c r="C331" s="49" t="s">
        <v>542</v>
      </c>
      <c r="D331" s="50">
        <v>562.9</v>
      </c>
      <c r="E331" s="49" t="s">
        <v>800</v>
      </c>
    </row>
    <row r="332" spans="1:5" x14ac:dyDescent="0.15">
      <c r="A332" s="49" t="s">
        <v>1270</v>
      </c>
      <c r="B332" s="49" t="s">
        <v>624</v>
      </c>
      <c r="C332" s="49" t="s">
        <v>625</v>
      </c>
      <c r="D332" s="50">
        <v>1478.7</v>
      </c>
      <c r="E332" s="49" t="s">
        <v>1163</v>
      </c>
    </row>
    <row r="333" spans="1:5" x14ac:dyDescent="0.15">
      <c r="A333" s="49" t="s">
        <v>1271</v>
      </c>
      <c r="B333" s="49" t="s">
        <v>626</v>
      </c>
      <c r="C333" s="49" t="s">
        <v>627</v>
      </c>
      <c r="D333" s="50">
        <v>2348.1</v>
      </c>
      <c r="E333" s="49" t="s">
        <v>1163</v>
      </c>
    </row>
    <row r="334" spans="1:5" x14ac:dyDescent="0.15">
      <c r="A334" s="49" t="s">
        <v>1158</v>
      </c>
      <c r="B334" s="49" t="s">
        <v>628</v>
      </c>
      <c r="C334" s="49" t="s">
        <v>629</v>
      </c>
      <c r="D334" s="50">
        <v>7324.2</v>
      </c>
      <c r="E334" s="49" t="s">
        <v>1029</v>
      </c>
    </row>
    <row r="335" spans="1:5" x14ac:dyDescent="0.15">
      <c r="A335" s="49" t="s">
        <v>1272</v>
      </c>
      <c r="B335" s="49" t="s">
        <v>630</v>
      </c>
      <c r="C335" s="49" t="s">
        <v>631</v>
      </c>
      <c r="D335" s="50">
        <v>7121.8</v>
      </c>
      <c r="E335" s="49" t="s">
        <v>1163</v>
      </c>
    </row>
    <row r="336" spans="1:5" x14ac:dyDescent="0.15">
      <c r="A336" s="49" t="s">
        <v>751</v>
      </c>
      <c r="B336" s="49" t="s">
        <v>752</v>
      </c>
      <c r="C336" s="49" t="s">
        <v>753</v>
      </c>
      <c r="D336" s="50">
        <v>300</v>
      </c>
      <c r="E336" s="49" t="s">
        <v>754</v>
      </c>
    </row>
    <row r="337" spans="1:5" x14ac:dyDescent="0.15">
      <c r="A337" s="49" t="s">
        <v>755</v>
      </c>
      <c r="B337" s="49" t="s">
        <v>756</v>
      </c>
      <c r="C337" s="49" t="s">
        <v>757</v>
      </c>
      <c r="D337" s="50">
        <v>0</v>
      </c>
      <c r="E337" s="49" t="s">
        <v>754</v>
      </c>
    </row>
    <row r="338" spans="1:5" x14ac:dyDescent="0.15">
      <c r="A338" s="49" t="s">
        <v>1285</v>
      </c>
      <c r="B338" s="49" t="s">
        <v>758</v>
      </c>
      <c r="C338" s="49" t="s">
        <v>759</v>
      </c>
      <c r="D338" s="50">
        <v>926.3</v>
      </c>
      <c r="E338" s="49" t="s">
        <v>1286</v>
      </c>
    </row>
    <row r="339" spans="1:5" x14ac:dyDescent="0.15">
      <c r="A339" s="49" t="s">
        <v>760</v>
      </c>
      <c r="B339" s="49" t="s">
        <v>761</v>
      </c>
      <c r="C339" s="49" t="s">
        <v>762</v>
      </c>
      <c r="D339" s="50">
        <v>0</v>
      </c>
      <c r="E339" s="49" t="s">
        <v>754</v>
      </c>
    </row>
    <row r="340" spans="1:5" x14ac:dyDescent="0.15">
      <c r="A340" s="49" t="s">
        <v>1303</v>
      </c>
      <c r="B340" s="49" t="s">
        <v>763</v>
      </c>
      <c r="C340" s="49" t="s">
        <v>764</v>
      </c>
      <c r="D340" s="50">
        <v>2349.1999999999998</v>
      </c>
      <c r="E340" s="49" t="s">
        <v>1304</v>
      </c>
    </row>
    <row r="341" spans="1:5" x14ac:dyDescent="0.15">
      <c r="A341" s="49" t="s">
        <v>765</v>
      </c>
      <c r="B341" s="49" t="s">
        <v>766</v>
      </c>
      <c r="C341" s="49" t="s">
        <v>767</v>
      </c>
      <c r="D341" s="50">
        <v>0</v>
      </c>
      <c r="E341" s="49" t="s">
        <v>754</v>
      </c>
    </row>
    <row r="342" spans="1:5" x14ac:dyDescent="0.15">
      <c r="A342" s="49" t="s">
        <v>768</v>
      </c>
      <c r="B342" s="49" t="s">
        <v>769</v>
      </c>
      <c r="C342" s="49" t="s">
        <v>770</v>
      </c>
      <c r="D342" s="50">
        <v>0</v>
      </c>
      <c r="E342" s="49" t="s">
        <v>754</v>
      </c>
    </row>
    <row r="343" spans="1:5" x14ac:dyDescent="0.15">
      <c r="A343" s="49" t="s">
        <v>771</v>
      </c>
      <c r="B343" s="49" t="s">
        <v>772</v>
      </c>
      <c r="C343" s="49" t="s">
        <v>773</v>
      </c>
      <c r="D343" s="50">
        <v>0</v>
      </c>
      <c r="E343" s="49" t="s">
        <v>754</v>
      </c>
    </row>
    <row r="344" spans="1:5" x14ac:dyDescent="0.15">
      <c r="A344" s="49" t="s">
        <v>774</v>
      </c>
      <c r="B344" s="49" t="s">
        <v>775</v>
      </c>
      <c r="C344" s="49" t="s">
        <v>776</v>
      </c>
      <c r="D344" s="50">
        <v>0</v>
      </c>
      <c r="E344" s="49" t="s">
        <v>754</v>
      </c>
    </row>
    <row r="345" spans="1:5" x14ac:dyDescent="0.15">
      <c r="A345" s="49" t="s">
        <v>777</v>
      </c>
      <c r="B345" s="49" t="s">
        <v>778</v>
      </c>
      <c r="C345" s="49" t="s">
        <v>779</v>
      </c>
      <c r="D345" s="50">
        <v>0</v>
      </c>
      <c r="E345" s="49" t="s">
        <v>754</v>
      </c>
    </row>
    <row r="346" spans="1:5" x14ac:dyDescent="0.15">
      <c r="A346" s="49" t="s">
        <v>780</v>
      </c>
      <c r="B346" s="49" t="s">
        <v>781</v>
      </c>
      <c r="C346" s="49" t="s">
        <v>782</v>
      </c>
      <c r="D346" s="50">
        <v>0</v>
      </c>
      <c r="E346" s="49" t="s">
        <v>754</v>
      </c>
    </row>
    <row r="347" spans="1:5" x14ac:dyDescent="0.15">
      <c r="A347" s="49" t="s">
        <v>783</v>
      </c>
      <c r="B347" s="49" t="s">
        <v>784</v>
      </c>
      <c r="C347" s="49" t="s">
        <v>785</v>
      </c>
      <c r="D347" s="50">
        <v>0</v>
      </c>
      <c r="E347" s="49" t="s">
        <v>754</v>
      </c>
    </row>
    <row r="348" spans="1:5" x14ac:dyDescent="0.15">
      <c r="A348" s="49" t="s">
        <v>786</v>
      </c>
      <c r="B348" s="49" t="s">
        <v>787</v>
      </c>
      <c r="C348" s="49" t="s">
        <v>788</v>
      </c>
      <c r="D348" s="50">
        <v>0</v>
      </c>
      <c r="E348" s="49" t="s">
        <v>754</v>
      </c>
    </row>
    <row r="349" spans="1:5" x14ac:dyDescent="0.15">
      <c r="A349" s="49" t="s">
        <v>789</v>
      </c>
      <c r="B349" s="49" t="s">
        <v>790</v>
      </c>
      <c r="C349" s="49" t="s">
        <v>791</v>
      </c>
      <c r="D349" s="50">
        <v>0</v>
      </c>
      <c r="E349" s="49" t="s">
        <v>754</v>
      </c>
    </row>
    <row r="350" spans="1:5" x14ac:dyDescent="0.15">
      <c r="A350" s="49" t="s">
        <v>792</v>
      </c>
      <c r="B350" s="49" t="s">
        <v>793</v>
      </c>
      <c r="C350" s="49" t="s">
        <v>794</v>
      </c>
      <c r="D350" s="50">
        <v>0</v>
      </c>
      <c r="E350" s="49" t="s">
        <v>754</v>
      </c>
    </row>
    <row r="351" spans="1:5" x14ac:dyDescent="0.15">
      <c r="A351" s="49" t="s">
        <v>795</v>
      </c>
      <c r="B351" s="49" t="s">
        <v>796</v>
      </c>
      <c r="C351" s="49" t="s">
        <v>797</v>
      </c>
      <c r="D351" s="50">
        <v>0</v>
      </c>
      <c r="E351" s="49" t="s">
        <v>754</v>
      </c>
    </row>
    <row r="352" spans="1:5" x14ac:dyDescent="0.15">
      <c r="A352" s="49" t="s">
        <v>918</v>
      </c>
      <c r="B352" s="49" t="s">
        <v>798</v>
      </c>
      <c r="C352" s="49" t="s">
        <v>799</v>
      </c>
      <c r="D352" s="50">
        <v>679</v>
      </c>
      <c r="E352" s="49" t="s">
        <v>919</v>
      </c>
    </row>
    <row r="353" spans="1:5" x14ac:dyDescent="0.15">
      <c r="A353" s="49" t="s">
        <v>920</v>
      </c>
      <c r="B353" s="49" t="s">
        <v>801</v>
      </c>
      <c r="C353" s="49" t="s">
        <v>802</v>
      </c>
      <c r="D353" s="50">
        <v>3686</v>
      </c>
      <c r="E353" s="49" t="s">
        <v>919</v>
      </c>
    </row>
    <row r="354" spans="1:5" x14ac:dyDescent="0.15">
      <c r="A354" s="49" t="s">
        <v>921</v>
      </c>
      <c r="B354" s="49" t="s">
        <v>803</v>
      </c>
      <c r="C354" s="49" t="s">
        <v>804</v>
      </c>
      <c r="D354" s="50">
        <v>1323</v>
      </c>
      <c r="E354" s="49" t="s">
        <v>919</v>
      </c>
    </row>
    <row r="355" spans="1:5" x14ac:dyDescent="0.15">
      <c r="A355" s="49" t="s">
        <v>922</v>
      </c>
      <c r="B355" s="49" t="s">
        <v>805</v>
      </c>
      <c r="C355" s="49" t="s">
        <v>806</v>
      </c>
      <c r="D355" s="50">
        <v>795</v>
      </c>
      <c r="E355" s="49" t="s">
        <v>919</v>
      </c>
    </row>
    <row r="356" spans="1:5" x14ac:dyDescent="0.15">
      <c r="A356" s="49" t="s">
        <v>923</v>
      </c>
      <c r="B356" s="49" t="s">
        <v>807</v>
      </c>
      <c r="C356" s="49" t="s">
        <v>808</v>
      </c>
      <c r="D356" s="50">
        <v>3215</v>
      </c>
      <c r="E356" s="49" t="s">
        <v>919</v>
      </c>
    </row>
    <row r="357" spans="1:5" x14ac:dyDescent="0.15">
      <c r="A357" s="49" t="s">
        <v>924</v>
      </c>
      <c r="B357" s="49" t="s">
        <v>809</v>
      </c>
      <c r="C357" s="49" t="s">
        <v>810</v>
      </c>
      <c r="D357" s="50">
        <v>893</v>
      </c>
      <c r="E357" s="49" t="s">
        <v>919</v>
      </c>
    </row>
    <row r="358" spans="1:5" x14ac:dyDescent="0.15">
      <c r="A358" s="49" t="s">
        <v>925</v>
      </c>
      <c r="B358" s="49" t="s">
        <v>811</v>
      </c>
      <c r="C358" s="49" t="s">
        <v>812</v>
      </c>
      <c r="D358" s="50">
        <v>893</v>
      </c>
      <c r="E358" s="49" t="s">
        <v>919</v>
      </c>
    </row>
    <row r="359" spans="1:5" x14ac:dyDescent="0.15">
      <c r="A359" s="49" t="s">
        <v>926</v>
      </c>
      <c r="B359" s="49" t="s">
        <v>813</v>
      </c>
      <c r="C359" s="49" t="s">
        <v>814</v>
      </c>
      <c r="D359" s="50">
        <v>1487</v>
      </c>
      <c r="E359" s="49" t="s">
        <v>919</v>
      </c>
    </row>
    <row r="360" spans="1:5" x14ac:dyDescent="0.15">
      <c r="A360" s="49" t="s">
        <v>927</v>
      </c>
      <c r="B360" s="49" t="s">
        <v>815</v>
      </c>
      <c r="C360" s="49" t="s">
        <v>816</v>
      </c>
      <c r="D360" s="50">
        <v>1772</v>
      </c>
      <c r="E360" s="49" t="s">
        <v>919</v>
      </c>
    </row>
    <row r="361" spans="1:5" x14ac:dyDescent="0.15">
      <c r="A361" s="49" t="s">
        <v>928</v>
      </c>
      <c r="B361" s="49" t="s">
        <v>817</v>
      </c>
      <c r="C361" s="49" t="s">
        <v>818</v>
      </c>
      <c r="D361" s="50">
        <v>1559</v>
      </c>
      <c r="E361" s="49" t="s">
        <v>919</v>
      </c>
    </row>
    <row r="362" spans="1:5" x14ac:dyDescent="0.15">
      <c r="A362" s="49" t="s">
        <v>929</v>
      </c>
      <c r="B362" s="49" t="s">
        <v>819</v>
      </c>
      <c r="C362" s="49" t="s">
        <v>820</v>
      </c>
      <c r="D362" s="50">
        <v>2376</v>
      </c>
      <c r="E362" s="49" t="s">
        <v>919</v>
      </c>
    </row>
    <row r="363" spans="1:5" x14ac:dyDescent="0.15">
      <c r="A363" s="49" t="s">
        <v>930</v>
      </c>
      <c r="B363" s="49" t="s">
        <v>821</v>
      </c>
      <c r="C363" s="49" t="s">
        <v>822</v>
      </c>
      <c r="D363" s="50">
        <v>2376</v>
      </c>
      <c r="E363" s="49" t="s">
        <v>919</v>
      </c>
    </row>
    <row r="364" spans="1:5" x14ac:dyDescent="0.15">
      <c r="A364" s="49" t="s">
        <v>931</v>
      </c>
      <c r="B364" s="49" t="s">
        <v>823</v>
      </c>
      <c r="C364" s="49" t="s">
        <v>824</v>
      </c>
      <c r="D364" s="50">
        <v>3936</v>
      </c>
      <c r="E364" s="49" t="s">
        <v>919</v>
      </c>
    </row>
    <row r="365" spans="1:5" x14ac:dyDescent="0.15">
      <c r="A365" s="49" t="s">
        <v>932</v>
      </c>
      <c r="B365" s="49" t="s">
        <v>825</v>
      </c>
      <c r="C365" s="49" t="s">
        <v>826</v>
      </c>
      <c r="D365" s="50">
        <v>1431</v>
      </c>
      <c r="E365" s="49" t="s">
        <v>919</v>
      </c>
    </row>
    <row r="366" spans="1:5" x14ac:dyDescent="0.15">
      <c r="A366" s="49" t="s">
        <v>933</v>
      </c>
      <c r="B366" s="49" t="s">
        <v>827</v>
      </c>
      <c r="C366" s="49" t="s">
        <v>828</v>
      </c>
      <c r="D366" s="50">
        <v>1431</v>
      </c>
      <c r="E366" s="49" t="s">
        <v>919</v>
      </c>
    </row>
    <row r="367" spans="1:5" x14ac:dyDescent="0.15">
      <c r="A367" s="49" t="s">
        <v>934</v>
      </c>
      <c r="B367" s="49" t="s">
        <v>935</v>
      </c>
      <c r="C367" s="49" t="s">
        <v>936</v>
      </c>
      <c r="D367" s="50">
        <v>0</v>
      </c>
      <c r="E367" s="49" t="s">
        <v>919</v>
      </c>
    </row>
    <row r="368" spans="1:5" x14ac:dyDescent="0.15">
      <c r="A368" s="49" t="s">
        <v>937</v>
      </c>
      <c r="B368" s="49" t="s">
        <v>938</v>
      </c>
      <c r="C368" s="49" t="s">
        <v>939</v>
      </c>
      <c r="D368" s="50">
        <v>0</v>
      </c>
      <c r="E368" s="49" t="s">
        <v>919</v>
      </c>
    </row>
    <row r="369" spans="1:5" x14ac:dyDescent="0.15">
      <c r="A369" s="49" t="s">
        <v>940</v>
      </c>
      <c r="B369" s="49" t="s">
        <v>941</v>
      </c>
      <c r="C369" s="49" t="s">
        <v>942</v>
      </c>
      <c r="D369" s="50">
        <v>0</v>
      </c>
      <c r="E369" s="49" t="s">
        <v>919</v>
      </c>
    </row>
    <row r="370" spans="1:5" x14ac:dyDescent="0.15">
      <c r="A370" s="49" t="s">
        <v>943</v>
      </c>
      <c r="B370" s="49" t="s">
        <v>944</v>
      </c>
      <c r="C370" s="49" t="s">
        <v>945</v>
      </c>
      <c r="D370" s="50">
        <v>0</v>
      </c>
      <c r="E370" s="49" t="s">
        <v>919</v>
      </c>
    </row>
    <row r="371" spans="1:5" x14ac:dyDescent="0.15">
      <c r="A371" s="49" t="s">
        <v>946</v>
      </c>
      <c r="B371" s="49" t="s">
        <v>947</v>
      </c>
      <c r="C371" s="49" t="s">
        <v>948</v>
      </c>
      <c r="D371" s="50">
        <v>0</v>
      </c>
      <c r="E371" s="49" t="s">
        <v>919</v>
      </c>
    </row>
    <row r="372" spans="1:5" x14ac:dyDescent="0.15">
      <c r="A372" s="49" t="s">
        <v>949</v>
      </c>
      <c r="B372" s="49" t="s">
        <v>950</v>
      </c>
      <c r="C372" s="49" t="s">
        <v>951</v>
      </c>
      <c r="D372" s="50">
        <v>0</v>
      </c>
      <c r="E372" s="49" t="s">
        <v>919</v>
      </c>
    </row>
    <row r="373" spans="1:5" x14ac:dyDescent="0.15">
      <c r="A373" s="49" t="s">
        <v>952</v>
      </c>
      <c r="B373" s="49" t="s">
        <v>953</v>
      </c>
      <c r="C373" s="49" t="s">
        <v>954</v>
      </c>
      <c r="D373" s="50">
        <v>0</v>
      </c>
      <c r="E373" s="49" t="s">
        <v>919</v>
      </c>
    </row>
    <row r="374" spans="1:5" x14ac:dyDescent="0.15">
      <c r="A374" s="49" t="s">
        <v>955</v>
      </c>
      <c r="B374" s="49" t="s">
        <v>956</v>
      </c>
      <c r="C374" s="49" t="s">
        <v>957</v>
      </c>
      <c r="D374" s="50">
        <v>0</v>
      </c>
      <c r="E374" s="49" t="s">
        <v>919</v>
      </c>
    </row>
    <row r="375" spans="1:5" x14ac:dyDescent="0.15">
      <c r="A375" s="49" t="s">
        <v>958</v>
      </c>
      <c r="B375" s="49" t="s">
        <v>959</v>
      </c>
      <c r="C375" s="49" t="s">
        <v>960</v>
      </c>
      <c r="D375" s="50">
        <v>0</v>
      </c>
      <c r="E375" s="49" t="s">
        <v>919</v>
      </c>
    </row>
    <row r="376" spans="1:5" x14ac:dyDescent="0.15">
      <c r="A376" s="49" t="s">
        <v>961</v>
      </c>
      <c r="B376" s="49" t="s">
        <v>962</v>
      </c>
      <c r="C376" s="49" t="s">
        <v>963</v>
      </c>
      <c r="D376" s="50">
        <v>0</v>
      </c>
      <c r="E376" s="49" t="s">
        <v>919</v>
      </c>
    </row>
    <row r="377" spans="1:5" x14ac:dyDescent="0.15">
      <c r="A377" s="49" t="s">
        <v>988</v>
      </c>
      <c r="B377" s="49" t="s">
        <v>989</v>
      </c>
      <c r="C377" s="49" t="s">
        <v>990</v>
      </c>
      <c r="D377" s="50">
        <v>0</v>
      </c>
      <c r="E377" s="49" t="s">
        <v>991</v>
      </c>
    </row>
    <row r="378" spans="1:5" x14ac:dyDescent="0.15">
      <c r="A378" s="49" t="s">
        <v>964</v>
      </c>
      <c r="B378" s="49" t="s">
        <v>965</v>
      </c>
      <c r="C378" s="49" t="s">
        <v>966</v>
      </c>
      <c r="D378" s="50">
        <v>0</v>
      </c>
      <c r="E378" s="49" t="s">
        <v>967</v>
      </c>
    </row>
    <row r="379" spans="1:5" x14ac:dyDescent="0.15">
      <c r="A379" s="49" t="s">
        <v>968</v>
      </c>
      <c r="B379" s="49" t="s">
        <v>969</v>
      </c>
      <c r="C379" s="49" t="s">
        <v>970</v>
      </c>
      <c r="D379" s="50">
        <v>0</v>
      </c>
      <c r="E379" s="49" t="s">
        <v>967</v>
      </c>
    </row>
    <row r="380" spans="1:5" x14ac:dyDescent="0.15">
      <c r="A380" s="49" t="s">
        <v>971</v>
      </c>
      <c r="B380" s="49" t="s">
        <v>972</v>
      </c>
      <c r="C380" s="49" t="s">
        <v>973</v>
      </c>
      <c r="D380" s="50">
        <v>0</v>
      </c>
      <c r="E380" s="49" t="s">
        <v>967</v>
      </c>
    </row>
    <row r="381" spans="1:5" x14ac:dyDescent="0.15">
      <c r="A381" s="49" t="s">
        <v>974</v>
      </c>
      <c r="B381" s="49" t="s">
        <v>975</v>
      </c>
      <c r="C381" s="49" t="s">
        <v>976</v>
      </c>
      <c r="D381" s="50">
        <v>0</v>
      </c>
      <c r="E381" s="49" t="s">
        <v>967</v>
      </c>
    </row>
    <row r="382" spans="1:5" x14ac:dyDescent="0.15">
      <c r="A382" s="49" t="s">
        <v>977</v>
      </c>
      <c r="B382" s="49" t="s">
        <v>978</v>
      </c>
      <c r="C382" s="49" t="s">
        <v>979</v>
      </c>
      <c r="D382" s="50">
        <v>0</v>
      </c>
      <c r="E382" s="49" t="s">
        <v>967</v>
      </c>
    </row>
    <row r="383" spans="1:5" x14ac:dyDescent="0.15">
      <c r="A383" s="49" t="s">
        <v>980</v>
      </c>
      <c r="B383" s="49" t="s">
        <v>981</v>
      </c>
      <c r="C383" s="49" t="s">
        <v>982</v>
      </c>
      <c r="D383" s="50">
        <v>0</v>
      </c>
      <c r="E383" s="49" t="s">
        <v>967</v>
      </c>
    </row>
    <row r="384" spans="1:5" x14ac:dyDescent="0.15">
      <c r="A384" s="49" t="s">
        <v>983</v>
      </c>
      <c r="B384" s="49" t="s">
        <v>984</v>
      </c>
      <c r="C384" s="49" t="s">
        <v>985</v>
      </c>
      <c r="D384" s="50">
        <v>0</v>
      </c>
      <c r="E384" s="49" t="s">
        <v>967</v>
      </c>
    </row>
    <row r="385" spans="1:5" x14ac:dyDescent="0.15">
      <c r="A385" s="49" t="s">
        <v>1287</v>
      </c>
      <c r="B385" s="49" t="s">
        <v>1288</v>
      </c>
      <c r="C385" s="49" t="s">
        <v>1289</v>
      </c>
      <c r="D385" s="50">
        <v>0</v>
      </c>
      <c r="E385" s="49" t="s">
        <v>1286</v>
      </c>
    </row>
    <row r="386" spans="1:5" x14ac:dyDescent="0.15">
      <c r="A386" s="49" t="s">
        <v>1290</v>
      </c>
      <c r="B386" s="49" t="s">
        <v>1291</v>
      </c>
      <c r="C386" s="49" t="s">
        <v>1292</v>
      </c>
      <c r="D386" s="50">
        <v>0</v>
      </c>
      <c r="E386" s="49" t="s">
        <v>1286</v>
      </c>
    </row>
    <row r="387" spans="1:5" x14ac:dyDescent="0.15">
      <c r="A387" s="49" t="s">
        <v>543</v>
      </c>
      <c r="B387" s="49" t="s">
        <v>544</v>
      </c>
      <c r="C387" s="49" t="s">
        <v>634</v>
      </c>
      <c r="D387" s="50">
        <v>3600</v>
      </c>
      <c r="E387" s="49" t="s">
        <v>24</v>
      </c>
    </row>
    <row r="388" spans="1:5" x14ac:dyDescent="0.15">
      <c r="A388" s="49" t="s">
        <v>545</v>
      </c>
      <c r="B388" s="49" t="s">
        <v>546</v>
      </c>
      <c r="C388" s="49" t="s">
        <v>635</v>
      </c>
      <c r="D388" s="50">
        <v>3100</v>
      </c>
      <c r="E388" s="49" t="s">
        <v>24</v>
      </c>
    </row>
    <row r="389" spans="1:5" x14ac:dyDescent="0.15">
      <c r="A389" s="49" t="s">
        <v>547</v>
      </c>
      <c r="B389" s="49" t="s">
        <v>548</v>
      </c>
      <c r="C389" s="49" t="s">
        <v>549</v>
      </c>
      <c r="D389" s="50">
        <v>8200</v>
      </c>
      <c r="E389" s="49" t="s">
        <v>24</v>
      </c>
    </row>
    <row r="390" spans="1:5" x14ac:dyDescent="0.15">
      <c r="A390" s="49" t="s">
        <v>550</v>
      </c>
      <c r="B390" s="49" t="s">
        <v>551</v>
      </c>
      <c r="C390" s="49" t="s">
        <v>552</v>
      </c>
      <c r="D390" s="50">
        <v>2600</v>
      </c>
      <c r="E390" s="49" t="s">
        <v>24</v>
      </c>
    </row>
    <row r="391" spans="1:5" x14ac:dyDescent="0.15">
      <c r="A391" s="49" t="s">
        <v>553</v>
      </c>
      <c r="B391" s="49" t="s">
        <v>554</v>
      </c>
      <c r="C391" s="49" t="s">
        <v>636</v>
      </c>
      <c r="D391" s="50">
        <v>1800</v>
      </c>
      <c r="E391" s="49" t="s">
        <v>24</v>
      </c>
    </row>
    <row r="392" spans="1:5" x14ac:dyDescent="0.15">
      <c r="A392" s="49" t="s">
        <v>555</v>
      </c>
      <c r="B392" s="49" t="s">
        <v>556</v>
      </c>
      <c r="C392" s="49" t="s">
        <v>637</v>
      </c>
      <c r="D392" s="50">
        <v>3015</v>
      </c>
      <c r="E392" s="49" t="s">
        <v>24</v>
      </c>
    </row>
    <row r="393" spans="1:5" x14ac:dyDescent="0.15">
      <c r="A393" s="49" t="s">
        <v>557</v>
      </c>
      <c r="B393" s="49" t="s">
        <v>558</v>
      </c>
      <c r="C393" s="49" t="s">
        <v>638</v>
      </c>
      <c r="D393" s="50">
        <v>2990</v>
      </c>
      <c r="E393" s="49" t="s">
        <v>24</v>
      </c>
    </row>
    <row r="394" spans="1:5" x14ac:dyDescent="0.15">
      <c r="A394" s="49" t="s">
        <v>559</v>
      </c>
      <c r="B394" s="49" t="s">
        <v>560</v>
      </c>
      <c r="C394" s="49" t="s">
        <v>635</v>
      </c>
      <c r="D394" s="50">
        <v>5519</v>
      </c>
      <c r="E394" s="49" t="s">
        <v>24</v>
      </c>
    </row>
    <row r="395" spans="1:5" x14ac:dyDescent="0.15">
      <c r="A395" s="49" t="s">
        <v>561</v>
      </c>
      <c r="B395" s="49" t="s">
        <v>562</v>
      </c>
      <c r="C395" s="49" t="s">
        <v>639</v>
      </c>
      <c r="D395" s="50">
        <v>2293</v>
      </c>
      <c r="E395" s="49" t="s">
        <v>24</v>
      </c>
    </row>
    <row r="396" spans="1:5" x14ac:dyDescent="0.15">
      <c r="A396" s="49" t="s">
        <v>563</v>
      </c>
      <c r="B396" s="49" t="s">
        <v>564</v>
      </c>
      <c r="C396" s="49" t="s">
        <v>640</v>
      </c>
      <c r="D396" s="50">
        <v>3992</v>
      </c>
      <c r="E396" s="49" t="s">
        <v>24</v>
      </c>
    </row>
    <row r="397" spans="1:5" x14ac:dyDescent="0.15">
      <c r="A397" s="49" t="s">
        <v>565</v>
      </c>
      <c r="B397" s="49" t="s">
        <v>566</v>
      </c>
      <c r="C397" s="49" t="s">
        <v>674</v>
      </c>
      <c r="D397" s="50">
        <v>2600</v>
      </c>
      <c r="E397" s="49" t="s">
        <v>24</v>
      </c>
    </row>
    <row r="398" spans="1:5" x14ac:dyDescent="0.15">
      <c r="A398" s="49" t="s">
        <v>567</v>
      </c>
      <c r="B398" s="49" t="s">
        <v>568</v>
      </c>
      <c r="C398" s="49" t="s">
        <v>675</v>
      </c>
      <c r="D398" s="50">
        <v>15800</v>
      </c>
      <c r="E398" s="49" t="s">
        <v>24</v>
      </c>
    </row>
    <row r="399" spans="1:5" x14ac:dyDescent="0.15">
      <c r="A399" s="49" t="s">
        <v>569</v>
      </c>
      <c r="B399" s="49" t="s">
        <v>570</v>
      </c>
      <c r="C399" s="49" t="s">
        <v>676</v>
      </c>
      <c r="D399" s="50">
        <v>17600</v>
      </c>
      <c r="E399" s="49" t="s">
        <v>24</v>
      </c>
    </row>
    <row r="400" spans="1:5" x14ac:dyDescent="0.15">
      <c r="A400" s="49" t="s">
        <v>571</v>
      </c>
      <c r="B400" s="49" t="s">
        <v>572</v>
      </c>
      <c r="C400" s="49" t="s">
        <v>602</v>
      </c>
      <c r="D400" s="50">
        <v>810</v>
      </c>
      <c r="E400" s="49" t="s">
        <v>24</v>
      </c>
    </row>
    <row r="401" spans="1:5" x14ac:dyDescent="0.15">
      <c r="A401" s="49" t="s">
        <v>573</v>
      </c>
      <c r="B401" s="49" t="s">
        <v>574</v>
      </c>
      <c r="C401" s="49" t="s">
        <v>603</v>
      </c>
      <c r="D401" s="50">
        <v>3000</v>
      </c>
      <c r="E401" s="49" t="s">
        <v>24</v>
      </c>
    </row>
    <row r="402" spans="1:5" x14ac:dyDescent="0.15">
      <c r="A402" s="49" t="s">
        <v>575</v>
      </c>
      <c r="B402" s="49" t="s">
        <v>576</v>
      </c>
      <c r="C402" s="49" t="s">
        <v>604</v>
      </c>
      <c r="D402" s="50">
        <v>440</v>
      </c>
      <c r="E402" s="49" t="s">
        <v>24</v>
      </c>
    </row>
    <row r="403" spans="1:5" x14ac:dyDescent="0.15">
      <c r="A403" s="49" t="s">
        <v>577</v>
      </c>
      <c r="B403" s="49" t="s">
        <v>578</v>
      </c>
      <c r="C403" s="49" t="s">
        <v>605</v>
      </c>
      <c r="D403" s="50">
        <v>420</v>
      </c>
      <c r="E403" s="49" t="s">
        <v>24</v>
      </c>
    </row>
    <row r="404" spans="1:5" x14ac:dyDescent="0.15">
      <c r="A404" s="49" t="s">
        <v>579</v>
      </c>
      <c r="B404" s="49" t="s">
        <v>580</v>
      </c>
      <c r="C404" s="49" t="s">
        <v>641</v>
      </c>
      <c r="D404" s="50">
        <v>810</v>
      </c>
      <c r="E404" s="49" t="s">
        <v>24</v>
      </c>
    </row>
    <row r="405" spans="1:5" x14ac:dyDescent="0.15">
      <c r="A405" s="49" t="s">
        <v>581</v>
      </c>
      <c r="B405" s="49" t="s">
        <v>582</v>
      </c>
      <c r="C405" s="49" t="s">
        <v>992</v>
      </c>
      <c r="D405" s="50">
        <v>1959</v>
      </c>
      <c r="E405" s="49" t="s">
        <v>24</v>
      </c>
    </row>
    <row r="406" spans="1:5" x14ac:dyDescent="0.15">
      <c r="A406" s="49" t="s">
        <v>583</v>
      </c>
      <c r="B406" s="49" t="s">
        <v>584</v>
      </c>
      <c r="C406" s="49" t="s">
        <v>585</v>
      </c>
      <c r="D406" s="50">
        <v>7195.7</v>
      </c>
      <c r="E406" s="49" t="s">
        <v>32</v>
      </c>
    </row>
    <row r="407" spans="1:5" x14ac:dyDescent="0.15">
      <c r="A407" s="49" t="s">
        <v>586</v>
      </c>
      <c r="B407" s="49" t="s">
        <v>587</v>
      </c>
      <c r="C407" s="49" t="s">
        <v>588</v>
      </c>
      <c r="D407" s="50">
        <v>7565.5</v>
      </c>
      <c r="E407" s="49" t="s">
        <v>32</v>
      </c>
    </row>
    <row r="408" spans="1:5" x14ac:dyDescent="0.15">
      <c r="A408" s="49" t="s">
        <v>589</v>
      </c>
      <c r="B408" s="49" t="s">
        <v>590</v>
      </c>
      <c r="C408" s="49" t="s">
        <v>591</v>
      </c>
      <c r="D408" s="50">
        <v>3801</v>
      </c>
      <c r="E408" s="49" t="s">
        <v>32</v>
      </c>
    </row>
    <row r="409" spans="1:5" x14ac:dyDescent="0.15">
      <c r="A409" s="49" t="s">
        <v>1159</v>
      </c>
      <c r="B409" s="49" t="s">
        <v>592</v>
      </c>
      <c r="C409" s="49" t="s">
        <v>593</v>
      </c>
      <c r="D409" s="50">
        <v>2376.4</v>
      </c>
      <c r="E409" s="49" t="s">
        <v>1029</v>
      </c>
    </row>
    <row r="410" spans="1:5" x14ac:dyDescent="0.15">
      <c r="A410" s="49" t="s">
        <v>1160</v>
      </c>
      <c r="B410" s="49" t="s">
        <v>594</v>
      </c>
      <c r="C410" s="49" t="s">
        <v>595</v>
      </c>
      <c r="D410" s="50">
        <v>1583.2</v>
      </c>
      <c r="E410" s="49" t="s">
        <v>1029</v>
      </c>
    </row>
    <row r="411" spans="1:5" x14ac:dyDescent="0.15">
      <c r="A411" s="49" t="s">
        <v>1161</v>
      </c>
      <c r="B411" s="49" t="s">
        <v>596</v>
      </c>
      <c r="C411" s="49" t="s">
        <v>597</v>
      </c>
      <c r="D411" s="50">
        <v>1475.9</v>
      </c>
      <c r="E411" s="49" t="s">
        <v>1029</v>
      </c>
    </row>
    <row r="412" spans="1:5" x14ac:dyDescent="0.15">
      <c r="A412" s="49" t="s">
        <v>598</v>
      </c>
      <c r="B412" s="49" t="s">
        <v>599</v>
      </c>
      <c r="C412" s="49" t="s">
        <v>600</v>
      </c>
      <c r="D412" s="50">
        <v>0</v>
      </c>
      <c r="E412" s="49" t="s">
        <v>601</v>
      </c>
    </row>
    <row r="413" spans="1:5" x14ac:dyDescent="0.15">
      <c r="A413" s="49" t="s">
        <v>1276</v>
      </c>
      <c r="B413" s="49" t="s">
        <v>1277</v>
      </c>
      <c r="C413" s="49" t="s">
        <v>1278</v>
      </c>
      <c r="D413" s="50">
        <v>2000</v>
      </c>
      <c r="E413" s="49" t="s">
        <v>24</v>
      </c>
    </row>
    <row r="414" spans="1:5" x14ac:dyDescent="0.15">
      <c r="A414" s="49" t="s">
        <v>1279</v>
      </c>
      <c r="B414" s="49" t="s">
        <v>1280</v>
      </c>
      <c r="C414" s="49" t="s">
        <v>1281</v>
      </c>
      <c r="D414" s="50">
        <v>4900</v>
      </c>
      <c r="E414" s="49" t="s">
        <v>24</v>
      </c>
    </row>
    <row r="415" spans="1:5" x14ac:dyDescent="0.15">
      <c r="A415" s="49" t="s">
        <v>1282</v>
      </c>
      <c r="B415" s="49" t="s">
        <v>1283</v>
      </c>
      <c r="C415" s="49" t="s">
        <v>1284</v>
      </c>
      <c r="D415" s="50">
        <v>1440</v>
      </c>
      <c r="E415" s="49" t="s">
        <v>24</v>
      </c>
    </row>
    <row r="416" spans="1:5" x14ac:dyDescent="0.15">
      <c r="A416" s="49" t="s">
        <v>1293</v>
      </c>
      <c r="B416" s="49" t="s">
        <v>1294</v>
      </c>
      <c r="C416" s="49" t="s">
        <v>1278</v>
      </c>
      <c r="D416" s="50">
        <v>2000</v>
      </c>
      <c r="E416" s="49" t="s">
        <v>24</v>
      </c>
    </row>
    <row r="417" spans="1:5" x14ac:dyDescent="0.15">
      <c r="A417" s="49" t="s">
        <v>1295</v>
      </c>
      <c r="B417" s="49" t="s">
        <v>1296</v>
      </c>
      <c r="C417" s="49" t="s">
        <v>1281</v>
      </c>
      <c r="D417" s="50">
        <v>4900</v>
      </c>
      <c r="E417" s="49" t="s">
        <v>24</v>
      </c>
    </row>
    <row r="418" spans="1:5" x14ac:dyDescent="0.15">
      <c r="A418" s="49" t="s">
        <v>1297</v>
      </c>
      <c r="B418" s="49" t="s">
        <v>1298</v>
      </c>
      <c r="C418" s="49" t="s">
        <v>1284</v>
      </c>
      <c r="D418" s="50">
        <v>1440</v>
      </c>
      <c r="E418" s="49" t="s">
        <v>24</v>
      </c>
    </row>
    <row r="419" spans="1:5" x14ac:dyDescent="0.15">
      <c r="A419" s="49" t="s">
        <v>745</v>
      </c>
      <c r="B419" s="49" t="s">
        <v>746</v>
      </c>
      <c r="C419" s="49" t="s">
        <v>747</v>
      </c>
      <c r="D419" s="50">
        <v>0</v>
      </c>
      <c r="E419" s="49" t="s">
        <v>748</v>
      </c>
    </row>
    <row r="420" spans="1:5" x14ac:dyDescent="0.15">
      <c r="A420" s="49"/>
      <c r="B420" s="49"/>
      <c r="C420" s="49"/>
      <c r="D420" s="50"/>
      <c r="E420" s="49"/>
    </row>
    <row r="421" spans="1:5" x14ac:dyDescent="0.15">
      <c r="A421" s="49"/>
      <c r="B421" s="49"/>
      <c r="C421" s="49"/>
      <c r="D421" s="50"/>
      <c r="E421" s="49"/>
    </row>
    <row r="422" spans="1:5" x14ac:dyDescent="0.15">
      <c r="A422" s="49"/>
      <c r="B422" s="49"/>
      <c r="C422" s="49"/>
      <c r="D422" s="50"/>
      <c r="E422" s="49"/>
    </row>
    <row r="423" spans="1:5" x14ac:dyDescent="0.15">
      <c r="A423" s="49"/>
      <c r="B423" s="49"/>
      <c r="C423" s="49"/>
      <c r="D423" s="50"/>
      <c r="E423" s="49"/>
    </row>
    <row r="424" spans="1:5" x14ac:dyDescent="0.15">
      <c r="A424" s="49"/>
      <c r="B424" s="49"/>
      <c r="C424" s="49"/>
      <c r="D424" s="50"/>
      <c r="E424" s="49"/>
    </row>
    <row r="425" spans="1:5" x14ac:dyDescent="0.15">
      <c r="A425" s="49"/>
      <c r="B425" s="49"/>
      <c r="C425" s="49"/>
      <c r="D425" s="50"/>
      <c r="E425" s="49"/>
    </row>
    <row r="426" spans="1:5" x14ac:dyDescent="0.15">
      <c r="A426" s="49"/>
      <c r="B426" s="49"/>
      <c r="C426" s="49"/>
      <c r="D426" s="50"/>
      <c r="E426" s="49"/>
    </row>
    <row r="427" spans="1:5" x14ac:dyDescent="0.15">
      <c r="A427" s="49"/>
      <c r="B427" s="49"/>
      <c r="C427" s="49"/>
      <c r="D427" s="50"/>
      <c r="E427" s="49"/>
    </row>
    <row r="428" spans="1:5" x14ac:dyDescent="0.15">
      <c r="A428" s="49"/>
      <c r="B428" s="49"/>
      <c r="C428" s="49"/>
      <c r="D428" s="50"/>
      <c r="E428" s="49"/>
    </row>
    <row r="429" spans="1:5" x14ac:dyDescent="0.15">
      <c r="A429" s="49"/>
      <c r="B429" s="49"/>
      <c r="C429" s="49"/>
      <c r="D429" s="50"/>
      <c r="E429" s="49"/>
    </row>
    <row r="430" spans="1:5" x14ac:dyDescent="0.15">
      <c r="A430" s="49"/>
      <c r="B430" s="49"/>
      <c r="C430" s="49"/>
      <c r="D430" s="50"/>
      <c r="E430" s="49"/>
    </row>
  </sheetData>
  <sheetProtection selectLockedCells="1" selectUnlockedCells="1"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2EDAC03146BF741B401FE639241A3D2" ma:contentTypeVersion="29" ma:contentTypeDescription="新しいドキュメントを作成します。" ma:contentTypeScope="" ma:versionID="570f672da6b3dd77e415083a55c4d4cb">
  <xsd:schema xmlns:xsd="http://www.w3.org/2001/XMLSchema" xmlns:xs="http://www.w3.org/2001/XMLSchema" xmlns:p="http://schemas.microsoft.com/office/2006/metadata/properties" xmlns:ns2="d6171b41-3e17-4370-8a53-7a4e4f0005ee" xmlns:ns3="75f73091-d888-4eb4-8faa-ac3e9e009ea8" targetNamespace="http://schemas.microsoft.com/office/2006/metadata/properties" ma:root="true" ma:fieldsID="5469bb7ff9c4a45d9d0f0a2b9459d385" ns2:_="" ns3:_="">
    <xsd:import namespace="d6171b41-3e17-4370-8a53-7a4e4f0005ee"/>
    <xsd:import namespace="75f73091-d888-4eb4-8faa-ac3e9e009ea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171b41-3e17-4370-8a53-7a4e4f0005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d693b017-795d-4b8c-9e82-0ab425b552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73091-d888-4eb4-8faa-ac3e9e009ea8" elementFormDefault="qualified">
    <xsd:import namespace="http://schemas.microsoft.com/office/2006/documentManagement/types"/>
    <xsd:import namespace="http://schemas.microsoft.com/office/infopath/2007/PartnerControls"/>
    <xsd:element name="SharedWithUsers" ma:index="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3d30f20-176d-45dd-8265-c7ec2a88bac8}" ma:internalName="TaxCatchAll" ma:showField="CatchAllData" ma:web="75f73091-d888-4eb4-8faa-ac3e9e009e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3" ma:displayName="コンテンツ タイプ"/>
        <xsd:element ref="dc:title" minOccurs="0" maxOccurs="1" ma:index="1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f73091-d888-4eb4-8faa-ac3e9e009ea8" xsi:nil="true"/>
    <lcf76f155ced4ddcb4097134ff3c332f xmlns="d6171b41-3e17-4370-8a53-7a4e4f0005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2160D4-8020-4992-993D-6EEEB887BF07}"/>
</file>

<file path=customXml/itemProps2.xml><?xml version="1.0" encoding="utf-8"?>
<ds:datastoreItem xmlns:ds="http://schemas.openxmlformats.org/officeDocument/2006/customXml" ds:itemID="{3C70F34A-E3F8-4ACB-957D-F04DBC2D850C}"/>
</file>

<file path=customXml/itemProps3.xml><?xml version="1.0" encoding="utf-8"?>
<ds:datastoreItem xmlns:ds="http://schemas.openxmlformats.org/officeDocument/2006/customXml" ds:itemID="{CACAED41-455F-4DE1-88D5-7B4D7D474E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納品書</vt:lpstr>
      <vt:lpstr>簡易納品書</vt:lpstr>
      <vt:lpstr>データ</vt:lpstr>
      <vt:lpstr>納品書!Print_Area</vt:lpstr>
    </vt:vector>
  </TitlesOfParts>
  <Company>旭化成グループ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桝田 和治</dc:creator>
  <cp:lastModifiedBy>古川　直美(Furukawa, Naomi)</cp:lastModifiedBy>
  <cp:lastPrinted>2017-01-13T06:52:52Z</cp:lastPrinted>
  <dcterms:created xsi:type="dcterms:W3CDTF">2015-08-04T09:19:19Z</dcterms:created>
  <dcterms:modified xsi:type="dcterms:W3CDTF">2026-04-21T04:42:54Z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b_imptempl_version">
    <vt:i4>4</vt:i4>
  </property>
  <property fmtid="{D5CDD505-2E9C-101B-9397-08002B2CF9AE}" pid="3" name="ContentTypeId">
    <vt:lpwstr>0x010100E2EDAC03146BF741B401FE639241A3D2</vt:lpwstr>
  </property>
  <property fmtid="{D5CDD505-2E9C-101B-9397-08002B2CF9AE}" pid="4" name="MediaServiceImageTags">
    <vt:lpwstr/>
  </property>
</Properties>
</file>